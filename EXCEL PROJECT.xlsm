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neoma-my.sharepoint.com/personal/alexandracindy_djeuzemsigning_24_neoma-bs_com/Documents/"/>
    </mc:Choice>
  </mc:AlternateContent>
  <xr:revisionPtr revIDLastSave="3362" documentId="8_{1583428B-30F4-49AF-B183-BEECBE497E12}" xr6:coauthVersionLast="47" xr6:coauthVersionMax="47" xr10:uidLastSave="{FF823733-4584-48F1-8609-E0B37F08167D}"/>
  <bookViews>
    <workbookView xWindow="-108" yWindow="-108" windowWidth="23256" windowHeight="12456" xr2:uid="{2DC9EE6A-3B05-4736-93A9-526A77474BC7}"/>
  </bookViews>
  <sheets>
    <sheet name="Dashboard" sheetId="1" r:id="rId1"/>
    <sheet name="Transaction" sheetId="2" r:id="rId2"/>
    <sheet name="Budget" sheetId="3" r:id="rId3"/>
    <sheet name="Calcul" sheetId="4" r:id="rId4"/>
  </sheets>
  <definedNames>
    <definedName name="_xleta.T" hidden="1" xlm="1">#NAME?</definedName>
    <definedName name="_xleta.TODAY" hidden="1" xlm="1">#NAME?</definedName>
    <definedName name="Crédit">Crédit_budget[Crédit]</definedName>
    <definedName name="Dépense">Dépense_budget[Dépense]</definedName>
    <definedName name="Epargne">Epargne_budget[Epargne]</definedName>
    <definedName name="Facture">Facture_budget[Facture]</definedName>
    <definedName name="Revenu">Revenu_budget[Revenu]</definedName>
    <definedName name="Slicer_Moi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9" i="4" l="1"/>
  <c r="O19" i="4"/>
  <c r="P18" i="4"/>
  <c r="O18" i="4"/>
  <c r="P17" i="4"/>
  <c r="O17" i="4"/>
  <c r="P16" i="4"/>
  <c r="O16" i="4"/>
  <c r="P15" i="4"/>
  <c r="O15" i="4"/>
  <c r="P14" i="4"/>
  <c r="O14" i="4"/>
  <c r="P13" i="4"/>
  <c r="O13" i="4"/>
  <c r="P12" i="4"/>
  <c r="O12" i="4"/>
  <c r="H43" i="3"/>
  <c r="I43" i="3"/>
  <c r="J43" i="3"/>
  <c r="K43" i="3"/>
  <c r="L43" i="3"/>
  <c r="M43" i="3"/>
  <c r="N43" i="3"/>
  <c r="D43" i="3"/>
  <c r="E43" i="3"/>
  <c r="F43" i="3"/>
  <c r="G43" i="3"/>
  <c r="C43" i="3"/>
  <c r="D36" i="3"/>
  <c r="E36" i="3"/>
  <c r="F36" i="3"/>
  <c r="G36" i="3"/>
  <c r="H36" i="3"/>
  <c r="I36" i="3"/>
  <c r="J36" i="3"/>
  <c r="K36" i="3"/>
  <c r="L36" i="3"/>
  <c r="M36" i="3"/>
  <c r="N36" i="3"/>
  <c r="C36" i="3"/>
  <c r="D29" i="3"/>
  <c r="E29" i="3"/>
  <c r="F29" i="3"/>
  <c r="G29" i="3"/>
  <c r="H29" i="3"/>
  <c r="I29" i="3"/>
  <c r="J29" i="3"/>
  <c r="K29" i="3"/>
  <c r="L29" i="3"/>
  <c r="M29" i="3"/>
  <c r="N29" i="3"/>
  <c r="C29" i="3"/>
  <c r="M21" i="3"/>
  <c r="N21" i="3"/>
  <c r="G21" i="3"/>
  <c r="H21" i="3"/>
  <c r="I21" i="3"/>
  <c r="J21" i="3"/>
  <c r="K21" i="3"/>
  <c r="L21" i="3"/>
  <c r="D21" i="3"/>
  <c r="E21" i="3"/>
  <c r="F21" i="3"/>
  <c r="C21" i="3"/>
  <c r="D10" i="3"/>
  <c r="E10" i="3"/>
  <c r="F10" i="3"/>
  <c r="G10" i="3"/>
  <c r="H10" i="3"/>
  <c r="I10" i="3"/>
  <c r="J10" i="3"/>
  <c r="K10" i="3"/>
  <c r="L10" i="3"/>
  <c r="M10" i="3"/>
  <c r="N10" i="3"/>
  <c r="C10" i="3"/>
  <c r="O9" i="3"/>
  <c r="O15" i="3"/>
  <c r="O35" i="3"/>
  <c r="B13" i="1"/>
  <c r="C43" i="1" s="1" a="1"/>
  <c r="C43" i="1" s="1"/>
  <c r="E42" i="2"/>
  <c r="O42" i="3"/>
  <c r="O28" i="3"/>
  <c r="O16" i="3"/>
  <c r="O17" i="3"/>
  <c r="O18" i="3"/>
  <c r="O19" i="3"/>
  <c r="O20" i="3"/>
  <c r="O41" i="3"/>
  <c r="O40" i="3"/>
  <c r="O39" i="3"/>
  <c r="O34" i="3"/>
  <c r="O33" i="3"/>
  <c r="O32" i="3"/>
  <c r="O26" i="3"/>
  <c r="O25" i="3"/>
  <c r="O24" i="3"/>
  <c r="O14" i="3"/>
  <c r="O13" i="3"/>
  <c r="T51" i="1" l="1"/>
  <c r="T49" i="1"/>
  <c r="L51" i="1"/>
  <c r="T48" i="1"/>
  <c r="T50" i="1"/>
  <c r="T47" i="1"/>
  <c r="O36" i="3"/>
  <c r="S51" i="1" a="1"/>
  <c r="S51" i="1" s="1"/>
  <c r="S50" i="1" a="1"/>
  <c r="S50" i="1" s="1"/>
  <c r="S49" i="1" a="1"/>
  <c r="S49" i="1" s="1"/>
  <c r="S48" i="1" a="1"/>
  <c r="S48" i="1" s="1"/>
  <c r="S47" i="1" a="1"/>
  <c r="S47" i="1" s="1"/>
  <c r="S46" i="1" a="1"/>
  <c r="S46" i="1" s="1"/>
  <c r="T44" i="1"/>
  <c r="S45" i="1" a="1"/>
  <c r="S45" i="1" s="1"/>
  <c r="S43" i="1" a="1"/>
  <c r="S43" i="1" s="1"/>
  <c r="S44" i="1" a="1"/>
  <c r="S44" i="1" s="1"/>
  <c r="C47" i="1" a="1"/>
  <c r="C47" i="1" s="1"/>
  <c r="D49" i="1"/>
  <c r="K51" i="1" a="1"/>
  <c r="K51" i="1" s="1"/>
  <c r="G50" i="1" a="1"/>
  <c r="G50" i="1" s="1"/>
  <c r="H43" i="1"/>
  <c r="H51" i="1"/>
  <c r="L47" i="1"/>
  <c r="O48" i="1" a="1"/>
  <c r="O48" i="1" s="1"/>
  <c r="P49" i="1"/>
  <c r="C46" i="1" a="1"/>
  <c r="C46" i="1" s="1"/>
  <c r="G49" i="1" a="1"/>
  <c r="G49" i="1" s="1"/>
  <c r="K43" i="1" a="1"/>
  <c r="K43" i="1" s="1"/>
  <c r="O47" i="1" a="1"/>
  <c r="O47" i="1" s="1"/>
  <c r="K44" i="1" a="1"/>
  <c r="K44" i="1" s="1"/>
  <c r="O46" i="1" a="1"/>
  <c r="O46" i="1" s="1"/>
  <c r="D46" i="1"/>
  <c r="H48" i="1"/>
  <c r="L43" i="1"/>
  <c r="O45" i="1" a="1"/>
  <c r="O45" i="1" s="1"/>
  <c r="C51" i="1" a="1"/>
  <c r="C51" i="1" s="1"/>
  <c r="D45" i="1"/>
  <c r="H47" i="1"/>
  <c r="O43" i="1" a="1"/>
  <c r="O43" i="1" s="1"/>
  <c r="P45" i="1"/>
  <c r="C50" i="1" a="1"/>
  <c r="C50" i="1" s="1"/>
  <c r="D44" i="1"/>
  <c r="H46" i="1"/>
  <c r="L50" i="1"/>
  <c r="P44" i="1"/>
  <c r="C49" i="1" a="1"/>
  <c r="C49" i="1" s="1"/>
  <c r="D51" i="1"/>
  <c r="G43" i="1" a="1"/>
  <c r="G43" i="1" s="1"/>
  <c r="G45" i="1" a="1"/>
  <c r="G45" i="1" s="1"/>
  <c r="H45" i="1"/>
  <c r="K47" i="1" a="1"/>
  <c r="K47" i="1" s="1"/>
  <c r="L49" i="1"/>
  <c r="O50" i="1" a="1"/>
  <c r="O50" i="1" s="1"/>
  <c r="P51" i="1"/>
  <c r="D48" i="1"/>
  <c r="H50" i="1"/>
  <c r="K45" i="1" a="1"/>
  <c r="K45" i="1" s="1"/>
  <c r="L46" i="1"/>
  <c r="P48" i="1"/>
  <c r="D47" i="1"/>
  <c r="H49" i="1"/>
  <c r="L45" i="1"/>
  <c r="P47" i="1"/>
  <c r="C45" i="1" a="1"/>
  <c r="C45" i="1" s="1"/>
  <c r="G48" i="1" a="1"/>
  <c r="G48" i="1" s="1"/>
  <c r="K50" i="1" a="1"/>
  <c r="K50" i="1" s="1"/>
  <c r="L44" i="1"/>
  <c r="P46" i="1"/>
  <c r="C44" i="1" a="1"/>
  <c r="C44" i="1" s="1"/>
  <c r="G47" i="1" a="1"/>
  <c r="G47" i="1" s="1"/>
  <c r="K49" i="1" a="1"/>
  <c r="K49" i="1" s="1"/>
  <c r="O44" i="1" a="1"/>
  <c r="O44" i="1" s="1"/>
  <c r="D43" i="1"/>
  <c r="G46" i="1" a="1"/>
  <c r="G46" i="1" s="1"/>
  <c r="K48" i="1" a="1"/>
  <c r="K48" i="1" s="1"/>
  <c r="O51" i="1" a="1"/>
  <c r="O51" i="1" s="1"/>
  <c r="P43" i="1"/>
  <c r="C48" i="1" a="1"/>
  <c r="C48" i="1" s="1"/>
  <c r="D50" i="1"/>
  <c r="G51" i="1" a="1"/>
  <c r="G51" i="1" s="1"/>
  <c r="G44" i="1" a="1"/>
  <c r="G44" i="1" s="1"/>
  <c r="H44" i="1"/>
  <c r="K46" i="1" a="1"/>
  <c r="K46" i="1" s="1"/>
  <c r="L48" i="1"/>
  <c r="O49" i="1" a="1"/>
  <c r="O49" i="1" s="1"/>
  <c r="P50" i="1"/>
  <c r="T43" i="1"/>
  <c r="T46" i="1"/>
  <c r="T45" i="1"/>
  <c r="O21" i="3"/>
  <c r="O43" i="3"/>
  <c r="O27" i="3"/>
  <c r="O29" i="3" s="1"/>
  <c r="K52" i="1" l="1"/>
  <c r="L52" i="1"/>
  <c r="P52" i="1"/>
  <c r="C52" i="1"/>
  <c r="S52" i="1"/>
  <c r="O52" i="1"/>
  <c r="H52" i="1"/>
  <c r="G52" i="1"/>
  <c r="D52" i="1"/>
  <c r="T52" i="1"/>
  <c r="O7" i="3"/>
  <c r="O8" i="3"/>
  <c r="O6" i="3"/>
  <c r="G4" i="4" l="1"/>
  <c r="F17" i="4"/>
  <c r="J11" i="4"/>
  <c r="H4" i="4"/>
  <c r="G17" i="4"/>
  <c r="F19" i="4"/>
  <c r="O4" i="4"/>
  <c r="J13" i="4"/>
  <c r="S4" i="4"/>
  <c r="F20" i="4"/>
  <c r="J14" i="4"/>
  <c r="C9" i="4"/>
  <c r="C4" i="4"/>
  <c r="J10" i="4"/>
  <c r="G19" i="4"/>
  <c r="P4" i="4"/>
  <c r="G20" i="4"/>
  <c r="T4" i="4"/>
  <c r="G18" i="4"/>
  <c r="P5" i="4"/>
  <c r="P6" i="4" s="1"/>
  <c r="L4" i="4"/>
  <c r="D4" i="4"/>
  <c r="O5" i="4"/>
  <c r="D6" i="4" s="1"/>
  <c r="J12" i="4"/>
  <c r="F18" i="4"/>
  <c r="K4" i="4"/>
  <c r="O10" i="3"/>
  <c r="O6" i="4" l="1"/>
  <c r="F6" i="4"/>
  <c r="F7" i="4" s="1"/>
  <c r="C10" i="4"/>
  <c r="C12" i="4" s="1"/>
  <c r="C13" i="4" s="1"/>
  <c r="C11" i="4" l="1"/>
  <c r="D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<sst xmlns="http://schemas.openxmlformats.org/spreadsheetml/2006/main" count="258" uniqueCount="63">
  <si>
    <t xml:space="preserve"> </t>
  </si>
  <si>
    <t>Total</t>
  </si>
  <si>
    <t>Janvier</t>
  </si>
  <si>
    <t>Février</t>
  </si>
  <si>
    <t>Mars</t>
  </si>
  <si>
    <t>Avril</t>
  </si>
  <si>
    <t>Mai</t>
  </si>
  <si>
    <t>Juin</t>
  </si>
  <si>
    <t>Juillet</t>
  </si>
  <si>
    <t>Août</t>
  </si>
  <si>
    <t>Septembre</t>
  </si>
  <si>
    <t>Octobre</t>
  </si>
  <si>
    <t>Novembre</t>
  </si>
  <si>
    <t>Décembre</t>
  </si>
  <si>
    <t>Salaire Net</t>
  </si>
  <si>
    <t>Extras</t>
  </si>
  <si>
    <t>Revenue Locatif</t>
  </si>
  <si>
    <t>Dépense</t>
  </si>
  <si>
    <t>Course</t>
  </si>
  <si>
    <t>Carburant</t>
  </si>
  <si>
    <t>Shopping</t>
  </si>
  <si>
    <t>Assurances</t>
  </si>
  <si>
    <t>Sante</t>
  </si>
  <si>
    <t>Enfant</t>
  </si>
  <si>
    <t>Restaurant</t>
  </si>
  <si>
    <t>Imprévus</t>
  </si>
  <si>
    <t>Facture</t>
  </si>
  <si>
    <t>Electricité</t>
  </si>
  <si>
    <t>Eau</t>
  </si>
  <si>
    <t>Netflix</t>
  </si>
  <si>
    <t>Wifi</t>
  </si>
  <si>
    <t>Télèphone</t>
  </si>
  <si>
    <t>Maison</t>
  </si>
  <si>
    <t>Voiture</t>
  </si>
  <si>
    <t>Crédit conso</t>
  </si>
  <si>
    <t>Crédit</t>
  </si>
  <si>
    <t>Retraite</t>
  </si>
  <si>
    <t>Projet</t>
  </si>
  <si>
    <t>Voyage</t>
  </si>
  <si>
    <t>Urgence</t>
  </si>
  <si>
    <t>Epargne</t>
  </si>
  <si>
    <t>Date</t>
  </si>
  <si>
    <t>Catégorie</t>
  </si>
  <si>
    <t>Montant</t>
  </si>
  <si>
    <t>Type</t>
  </si>
  <si>
    <t>Commentaire</t>
  </si>
  <si>
    <r>
      <rPr>
        <b/>
        <sz val="12"/>
        <color theme="1"/>
        <rFont val="Times New Roman"/>
        <family val="1"/>
      </rPr>
      <t xml:space="preserve">Liste des </t>
    </r>
    <r>
      <rPr>
        <b/>
        <sz val="12"/>
        <color theme="4" tint="0.39997558519241921"/>
        <rFont val="Times New Roman"/>
        <family val="1"/>
      </rPr>
      <t>transactions</t>
    </r>
  </si>
  <si>
    <t>Réel</t>
  </si>
  <si>
    <t>Budjet</t>
  </si>
  <si>
    <t>Mois</t>
  </si>
  <si>
    <t>Row Labels</t>
  </si>
  <si>
    <t>Grand Total</t>
  </si>
  <si>
    <t>Tous les mois</t>
  </si>
  <si>
    <t>Dépense Fixe</t>
  </si>
  <si>
    <t>Revenu</t>
  </si>
  <si>
    <t>Solde net</t>
  </si>
  <si>
    <t>%Dépense Revenue</t>
  </si>
  <si>
    <t xml:space="preserve">%restant </t>
  </si>
  <si>
    <t>Variables</t>
  </si>
  <si>
    <t xml:space="preserve">      </t>
  </si>
  <si>
    <t>Ecole</t>
  </si>
  <si>
    <t>FreeLance</t>
  </si>
  <si>
    <t>Budget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</si>
</sst>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 #,##0\ &quot;FCFA&quot;_-;\-* #,##0\ &quot;FCFA&quot;_-;_-* &quot;-&quot;\ &quot;FCFA&quot;_-;_-@_-"/>
    <numFmt numFmtId="164" formatCode="_-* #,##0.00\ [$€-1]_-;\-* #,##0.00\ [$€-1]_-;_-* &quot;-&quot;??\ [$€-1]_-;_-@_-"/>
    <numFmt numFmtId="165" formatCode="_-* #,##0.00\ [$€-1]_-;\-* #,##0.00\ [$€-1]_-;_-* &quot;-&quot;\ [$€-1]_-;_-@_-"/>
    <numFmt numFmtId="166" formatCode="_-* #,##0\ [$€-1]_-;\-* #,##0\ [$€-1]_-;_-* &quot;-&quot;\ [$€-1]_-;_-@_-"/>
  </numFmts>
  <fonts count="17" x14ac:knownFonts="1">
    <font>
      <sz val="11"/>
      <color theme="1"/>
      <name val="Aptos Narrow"/>
      <family val="2"/>
      <scheme val="minor"/>
    </font>
    <font>
      <sz val="8"/>
      <name val="Aptos Narrow"/>
      <family val="2"/>
      <scheme val="minor"/>
    </font>
    <font>
      <sz val="11"/>
      <color theme="1"/>
      <name val="Times New Roman"/>
      <family val="1"/>
    </font>
    <font>
      <b/>
      <sz val="11"/>
      <color theme="1"/>
      <name val="Times New Roman"/>
      <family val="1"/>
    </font>
    <font>
      <sz val="11"/>
      <color theme="2" tint="-0.499984740745262"/>
      <name val="Times New Roman"/>
      <family val="1"/>
    </font>
    <font>
      <b/>
      <sz val="12"/>
      <color theme="1"/>
      <name val="Times New Roman"/>
      <family val="1"/>
    </font>
    <font>
      <b/>
      <sz val="12"/>
      <color theme="4" tint="0.39997558519241921"/>
      <name val="Times New Roman"/>
      <family val="1"/>
    </font>
    <font>
      <b/>
      <sz val="11"/>
      <name val="Times New Roman"/>
      <family val="1"/>
    </font>
    <font>
      <sz val="11"/>
      <color theme="2" tint="-0.89996032593768116"/>
      <name val="Times New Roman"/>
      <family val="1"/>
    </font>
    <font>
      <b/>
      <sz val="11"/>
      <color theme="2"/>
      <name val="Times New Roman"/>
      <family val="1"/>
    </font>
    <font>
      <sz val="11"/>
      <color theme="1"/>
      <name val="Aptos Narrow"/>
      <family val="2"/>
      <scheme val="minor"/>
    </font>
    <font>
      <b/>
      <sz val="11"/>
      <color theme="1"/>
      <name val="Aptos Narrow"/>
      <family val="2"/>
      <scheme val="minor"/>
    </font>
    <font>
      <sz val="11"/>
      <color theme="1"/>
      <name val="ADLaM Display"/>
    </font>
    <font>
      <b/>
      <sz val="16"/>
      <color theme="1"/>
      <name val="Times New Roman"/>
      <family val="1"/>
    </font>
    <font>
      <b/>
      <sz val="28"/>
      <color theme="6" tint="0.39997558519241921"/>
      <name val="Times New Roman"/>
      <family val="1"/>
    </font>
    <font>
      <sz val="12"/>
      <color theme="1"/>
      <name val="Times New Roman"/>
      <family val="1"/>
    </font>
    <font>
      <b/>
      <sz val="14"/>
      <color theme="1"/>
      <name val="Times New Roman"/>
      <family val="1"/>
    </font>
  </fonts>
  <fills count="12">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rgb="FFFFC000"/>
        <bgColor indexed="64"/>
      </patternFill>
    </fill>
    <fill>
      <patternFill patternType="solid">
        <fgColor theme="5"/>
        <bgColor indexed="64"/>
      </patternFill>
    </fill>
    <fill>
      <patternFill patternType="solid">
        <fgColor theme="2"/>
        <bgColor indexed="64"/>
      </patternFill>
    </fill>
    <fill>
      <patternFill patternType="solid">
        <fgColor theme="7"/>
        <bgColor indexed="64"/>
      </patternFill>
    </fill>
    <fill>
      <patternFill patternType="solid">
        <fgColor rgb="FFFF9900"/>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9" tint="0.79998168889431442"/>
        <bgColor indexed="64"/>
      </patternFill>
    </fill>
  </fills>
  <borders count="28">
    <border>
      <left/>
      <right/>
      <top/>
      <bottom/>
      <diagonal/>
    </border>
    <border>
      <left style="thin">
        <color theme="2" tint="-0.89996032593768116"/>
      </left>
      <right/>
      <top style="thin">
        <color theme="2" tint="-0.89999084444715716"/>
      </top>
      <bottom style="thin">
        <color theme="2" tint="-0.89996032593768116"/>
      </bottom>
      <diagonal/>
    </border>
    <border>
      <left/>
      <right/>
      <top style="thin">
        <color theme="2" tint="-0.89999084444715716"/>
      </top>
      <bottom style="thin">
        <color theme="2" tint="-0.89996032593768116"/>
      </bottom>
      <diagonal/>
    </border>
    <border>
      <left/>
      <right style="thin">
        <color theme="2" tint="-0.89996032593768116"/>
      </right>
      <top style="thin">
        <color theme="2" tint="-0.89999084444715716"/>
      </top>
      <bottom style="thin">
        <color theme="2" tint="-0.89996032593768116"/>
      </bottom>
      <diagonal/>
    </border>
    <border>
      <left style="thin">
        <color theme="2" tint="-0.89996032593768116"/>
      </left>
      <right/>
      <top style="thin">
        <color theme="2" tint="-0.89996032593768116"/>
      </top>
      <bottom style="thin">
        <color theme="2" tint="-0.89996032593768116"/>
      </bottom>
      <diagonal/>
    </border>
    <border>
      <left/>
      <right/>
      <top style="thin">
        <color theme="2" tint="-0.89996032593768116"/>
      </top>
      <bottom style="thin">
        <color theme="2" tint="-0.89996032593768116"/>
      </bottom>
      <diagonal/>
    </border>
    <border>
      <left/>
      <right style="thin">
        <color theme="2" tint="-0.89996032593768116"/>
      </right>
      <top style="thin">
        <color theme="2" tint="-0.89996032593768116"/>
      </top>
      <bottom style="thin">
        <color theme="2" tint="-0.89996032593768116"/>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ck">
        <color theme="0"/>
      </top>
      <bottom/>
      <diagonal/>
    </border>
    <border>
      <left style="thick">
        <color theme="0"/>
      </left>
      <right style="thick">
        <color theme="0"/>
      </right>
      <top style="thick">
        <color theme="0"/>
      </top>
      <bottom style="thick">
        <color theme="0"/>
      </bottom>
      <diagonal/>
    </border>
    <border>
      <left/>
      <right/>
      <top style="thin">
        <color indexed="64"/>
      </top>
      <bottom style="thin">
        <color indexed="64"/>
      </bottom>
      <diagonal/>
    </border>
    <border>
      <left/>
      <right/>
      <top/>
      <bottom style="medium">
        <color indexed="64"/>
      </bottom>
      <diagonal/>
    </border>
    <border>
      <left style="thin">
        <color rgb="FFDEDEDD"/>
      </left>
      <right style="thin">
        <color rgb="FFDEDEDD"/>
      </right>
      <top style="thin">
        <color rgb="FFDEDEDD"/>
      </top>
      <bottom style="thin">
        <color rgb="FFDEDEDD"/>
      </bottom>
      <diagonal/>
    </border>
    <border>
      <left style="thin">
        <color rgb="FFDEDEDD"/>
      </left>
      <right style="thin">
        <color rgb="FFDEDEDD"/>
      </right>
      <top style="thin">
        <color rgb="FFDEDEDD"/>
      </top>
      <bottom/>
      <diagonal/>
    </border>
    <border>
      <left/>
      <right/>
      <top style="medium">
        <color theme="1"/>
      </top>
      <bottom/>
      <diagonal/>
    </border>
    <border>
      <left style="thin">
        <color theme="2" tint="-0.89996032593768116"/>
      </left>
      <right/>
      <top style="thin">
        <color theme="2" tint="-0.89999084444715716"/>
      </top>
      <bottom style="thin">
        <color theme="2" tint="-0.89992980742820516"/>
      </bottom>
      <diagonal/>
    </border>
    <border>
      <left/>
      <right/>
      <top style="thin">
        <color theme="2" tint="-0.89999084444715716"/>
      </top>
      <bottom style="thin">
        <color theme="2" tint="-0.89992980742820516"/>
      </bottom>
      <diagonal/>
    </border>
    <border>
      <left/>
      <right style="thin">
        <color theme="2" tint="-0.89992980742820516"/>
      </right>
      <top style="thin">
        <color theme="2" tint="-0.89999084444715716"/>
      </top>
      <bottom style="thin">
        <color theme="2" tint="-0.89992980742820516"/>
      </bottom>
      <diagonal/>
    </border>
    <border>
      <left style="thin">
        <color theme="2" tint="-0.89996032593768116"/>
      </left>
      <right/>
      <top style="thin">
        <color theme="2" tint="-0.89992980742820516"/>
      </top>
      <bottom style="thin">
        <color theme="2" tint="-0.89992980742820516"/>
      </bottom>
      <diagonal/>
    </border>
    <border>
      <left/>
      <right/>
      <top style="thin">
        <color theme="2" tint="-0.89992980742820516"/>
      </top>
      <bottom style="thin">
        <color theme="2" tint="-0.89992980742820516"/>
      </bottom>
      <diagonal/>
    </border>
    <border>
      <left/>
      <right style="thin">
        <color theme="2" tint="-0.89992980742820516"/>
      </right>
      <top style="thin">
        <color theme="2" tint="-0.89992980742820516"/>
      </top>
      <bottom style="thin">
        <color theme="2" tint="-0.89992980742820516"/>
      </bottom>
      <diagonal/>
    </border>
    <border>
      <left style="thin">
        <color theme="2" tint="-0.89996032593768116"/>
      </left>
      <right/>
      <top/>
      <bottom/>
      <diagonal/>
    </border>
    <border>
      <left/>
      <right style="thin">
        <color theme="2" tint="-0.89996032593768116"/>
      </right>
      <top/>
      <bottom/>
      <diagonal/>
    </border>
    <border>
      <left/>
      <right style="thin">
        <color theme="2" tint="-0.89992980742820516"/>
      </right>
      <top/>
      <bottom/>
      <diagonal/>
    </border>
    <border>
      <left style="thin">
        <color theme="1"/>
      </left>
      <right/>
      <top/>
      <bottom/>
      <diagonal/>
    </border>
    <border>
      <left/>
      <right style="thin">
        <color theme="1"/>
      </right>
      <top/>
      <bottom/>
      <diagonal/>
    </border>
  </borders>
  <cellStyleXfs count="2">
    <xf numFmtId="0" fontId="0" fillId="0" borderId="0"/>
    <xf numFmtId="9" fontId="10" fillId="0" borderId="0" applyFont="0" applyFill="0" applyBorder="0" applyAlignment="0" applyProtection="0"/>
  </cellStyleXfs>
  <cellXfs count="80">
    <xf numFmtId="0" fontId="0" fillId="0" borderId="0" xfId="0"/>
    <xf numFmtId="0" fontId="2" fillId="0" borderId="0" xfId="0" applyFont="1"/>
    <xf numFmtId="0" fontId="2" fillId="2" borderId="0" xfId="0" applyFont="1" applyFill="1" applyAlignment="1">
      <alignment vertical="center"/>
    </xf>
    <xf numFmtId="42" fontId="2" fillId="3" borderId="1" xfId="0" applyNumberFormat="1" applyFont="1" applyFill="1" applyBorder="1" applyAlignment="1">
      <alignment vertical="center"/>
    </xf>
    <xf numFmtId="164" fontId="2" fillId="3" borderId="2" xfId="0" applyNumberFormat="1" applyFont="1" applyFill="1" applyBorder="1" applyAlignment="1">
      <alignment vertical="center"/>
    </xf>
    <xf numFmtId="164" fontId="2" fillId="3" borderId="3" xfId="0" applyNumberFormat="1" applyFont="1" applyFill="1" applyBorder="1" applyAlignment="1">
      <alignment vertical="center"/>
    </xf>
    <xf numFmtId="42" fontId="2" fillId="3" borderId="4" xfId="0" applyNumberFormat="1" applyFont="1" applyFill="1" applyBorder="1" applyAlignment="1">
      <alignment vertical="center"/>
    </xf>
    <xf numFmtId="164" fontId="2" fillId="3" borderId="5" xfId="0" applyNumberFormat="1" applyFont="1" applyFill="1" applyBorder="1" applyAlignment="1">
      <alignment vertical="center"/>
    </xf>
    <xf numFmtId="164" fontId="2" fillId="3" borderId="6" xfId="0" applyNumberFormat="1" applyFont="1" applyFill="1" applyBorder="1" applyAlignment="1">
      <alignment vertical="center"/>
    </xf>
    <xf numFmtId="0" fontId="2" fillId="4" borderId="0" xfId="0" applyFont="1" applyFill="1" applyAlignment="1">
      <alignment vertical="center"/>
    </xf>
    <xf numFmtId="0" fontId="2" fillId="5" borderId="0" xfId="0" applyFont="1" applyFill="1" applyAlignment="1">
      <alignment vertical="center"/>
    </xf>
    <xf numFmtId="42" fontId="2" fillId="3" borderId="7" xfId="0" applyNumberFormat="1" applyFont="1" applyFill="1" applyBorder="1" applyAlignment="1">
      <alignment vertical="center"/>
    </xf>
    <xf numFmtId="164" fontId="2" fillId="3" borderId="8" xfId="0" applyNumberFormat="1" applyFont="1" applyFill="1" applyBorder="1" applyAlignment="1">
      <alignment vertical="center"/>
    </xf>
    <xf numFmtId="164" fontId="2" fillId="3" borderId="9" xfId="0" applyNumberFormat="1" applyFont="1" applyFill="1" applyBorder="1" applyAlignment="1">
      <alignment vertical="center"/>
    </xf>
    <xf numFmtId="42" fontId="2" fillId="3" borderId="4" xfId="0" applyNumberFormat="1" applyFont="1" applyFill="1" applyBorder="1"/>
    <xf numFmtId="42" fontId="2" fillId="3" borderId="4" xfId="0" applyNumberFormat="1" applyFont="1" applyFill="1" applyBorder="1" applyAlignment="1">
      <alignment horizontal="left"/>
    </xf>
    <xf numFmtId="0" fontId="4" fillId="3" borderId="0" xfId="0" applyFont="1" applyFill="1" applyAlignment="1">
      <alignment horizontal="right"/>
    </xf>
    <xf numFmtId="0" fontId="4" fillId="0" borderId="0" xfId="0" applyFont="1" applyAlignment="1">
      <alignment horizontal="right"/>
    </xf>
    <xf numFmtId="0" fontId="3" fillId="6" borderId="11" xfId="0" applyFont="1" applyFill="1" applyBorder="1" applyAlignment="1">
      <alignment horizontal="center"/>
    </xf>
    <xf numFmtId="14" fontId="7" fillId="6" borderId="11" xfId="0" applyNumberFormat="1" applyFont="1" applyFill="1" applyBorder="1" applyAlignment="1">
      <alignment horizontal="center" vertical="center"/>
    </xf>
    <xf numFmtId="164" fontId="2" fillId="6" borderId="11" xfId="0" applyNumberFormat="1" applyFont="1" applyFill="1" applyBorder="1"/>
    <xf numFmtId="0" fontId="3" fillId="6" borderId="11" xfId="0" applyFont="1" applyFill="1" applyBorder="1" applyAlignment="1">
      <alignment horizontal="center" vertical="center"/>
    </xf>
    <xf numFmtId="14" fontId="8" fillId="3" borderId="0" xfId="0" applyNumberFormat="1" applyFont="1" applyFill="1" applyAlignment="1">
      <alignment horizontal="left" vertical="center"/>
    </xf>
    <xf numFmtId="0" fontId="8" fillId="3" borderId="0" xfId="0" applyFont="1" applyFill="1" applyAlignment="1">
      <alignment horizontal="left" vertical="center"/>
    </xf>
    <xf numFmtId="164" fontId="8" fillId="3" borderId="0" xfId="0" applyNumberFormat="1" applyFont="1" applyFill="1" applyAlignment="1">
      <alignment horizontal="left" vertical="center"/>
    </xf>
    <xf numFmtId="0" fontId="8" fillId="3" borderId="12" xfId="0" applyFont="1" applyFill="1" applyBorder="1" applyAlignment="1">
      <alignment horizontal="left" vertical="center"/>
    </xf>
    <xf numFmtId="164" fontId="8" fillId="3" borderId="12" xfId="0" applyNumberFormat="1" applyFont="1" applyFill="1" applyBorder="1" applyAlignment="1">
      <alignment horizontal="left" vertical="center"/>
    </xf>
    <xf numFmtId="0" fontId="2" fillId="7" borderId="13" xfId="0" applyFont="1" applyFill="1" applyBorder="1" applyAlignment="1">
      <alignment horizontal="center" vertical="center"/>
    </xf>
    <xf numFmtId="14" fontId="8" fillId="3" borderId="12" xfId="0" applyNumberFormat="1" applyFont="1" applyFill="1" applyBorder="1" applyAlignment="1">
      <alignment horizontal="left" vertical="center"/>
    </xf>
    <xf numFmtId="0" fontId="3" fillId="0" borderId="14" xfId="0" applyFont="1" applyBorder="1"/>
    <xf numFmtId="0" fontId="9" fillId="2" borderId="14" xfId="0" applyFont="1" applyFill="1" applyBorder="1" applyAlignment="1">
      <alignment horizontal="center" vertical="center"/>
    </xf>
    <xf numFmtId="0" fontId="3" fillId="0" borderId="16" xfId="0" applyFont="1" applyBorder="1" applyAlignment="1">
      <alignment horizontal="right"/>
    </xf>
    <xf numFmtId="0" fontId="9" fillId="4" borderId="14" xfId="0" applyFont="1" applyFill="1" applyBorder="1" applyAlignment="1">
      <alignment horizontal="center" vertical="center"/>
    </xf>
    <xf numFmtId="0" fontId="9" fillId="8" borderId="14" xfId="0" applyFont="1" applyFill="1" applyBorder="1" applyAlignment="1">
      <alignment horizontal="center" vertical="center"/>
    </xf>
    <xf numFmtId="0" fontId="3" fillId="0" borderId="15" xfId="0" applyFont="1" applyBorder="1"/>
    <xf numFmtId="165" fontId="3" fillId="0" borderId="14" xfId="0" applyNumberFormat="1" applyFont="1" applyBorder="1"/>
    <xf numFmtId="165" fontId="3" fillId="9" borderId="14" xfId="0" applyNumberFormat="1" applyFont="1" applyFill="1" applyBorder="1"/>
    <xf numFmtId="165" fontId="3" fillId="10" borderId="14" xfId="0" applyNumberFormat="1" applyFont="1" applyFill="1" applyBorder="1"/>
    <xf numFmtId="165" fontId="3" fillId="11" borderId="14" xfId="0" applyNumberFormat="1" applyFont="1" applyFill="1" applyBorder="1"/>
    <xf numFmtId="0" fontId="2" fillId="3" borderId="0" xfId="0" applyFont="1" applyFill="1"/>
    <xf numFmtId="164" fontId="2" fillId="3" borderId="0" xfId="0" applyNumberFormat="1" applyFont="1" applyFill="1"/>
    <xf numFmtId="0" fontId="0" fillId="0" borderId="0" xfId="0" applyAlignment="1">
      <alignment horizontal="left"/>
    </xf>
    <xf numFmtId="0" fontId="0" fillId="0" borderId="0" xfId="0" pivotButton="1"/>
    <xf numFmtId="164" fontId="0" fillId="0" borderId="0" xfId="0" applyNumberFormat="1"/>
    <xf numFmtId="165" fontId="3" fillId="0" borderId="16" xfId="0" applyNumberFormat="1" applyFont="1" applyBorder="1"/>
    <xf numFmtId="0" fontId="11" fillId="0" borderId="0" xfId="0" applyFont="1"/>
    <xf numFmtId="164" fontId="11" fillId="0" borderId="0" xfId="0" applyNumberFormat="1" applyFont="1"/>
    <xf numFmtId="9" fontId="12" fillId="0" borderId="0" xfId="1" applyFont="1"/>
    <xf numFmtId="9" fontId="3" fillId="0" borderId="0" xfId="1" applyFont="1" applyFill="1" applyBorder="1"/>
    <xf numFmtId="9" fontId="3" fillId="10" borderId="0" xfId="1" applyFont="1" applyFill="1" applyBorder="1"/>
    <xf numFmtId="9" fontId="3" fillId="9" borderId="0" xfId="1" applyFont="1" applyFill="1" applyBorder="1"/>
    <xf numFmtId="9" fontId="0" fillId="0" borderId="0" xfId="1" applyFont="1"/>
    <xf numFmtId="0" fontId="5" fillId="0" borderId="0" xfId="0" applyFont="1"/>
    <xf numFmtId="165" fontId="3" fillId="0" borderId="0" xfId="0" applyNumberFormat="1" applyFont="1"/>
    <xf numFmtId="0" fontId="3" fillId="0" borderId="0" xfId="0" applyFont="1" applyAlignment="1">
      <alignment horizontal="right"/>
    </xf>
    <xf numFmtId="165" fontId="0" fillId="0" borderId="0" xfId="0" applyNumberFormat="1"/>
    <xf numFmtId="166" fontId="0" fillId="0" borderId="0" xfId="0" applyNumberFormat="1"/>
    <xf numFmtId="166" fontId="3" fillId="9" borderId="14" xfId="0" applyNumberFormat="1" applyFont="1" applyFill="1" applyBorder="1"/>
    <xf numFmtId="166" fontId="3" fillId="0" borderId="14" xfId="0" applyNumberFormat="1" applyFont="1" applyBorder="1"/>
    <xf numFmtId="0" fontId="15" fillId="0" borderId="0" xfId="0" applyFont="1"/>
    <xf numFmtId="0" fontId="16" fillId="0" borderId="0" xfId="0" applyFont="1"/>
    <xf numFmtId="164" fontId="2" fillId="3" borderId="0" xfId="0" applyNumberFormat="1" applyFont="1" applyFill="1" applyAlignment="1">
      <alignment vertical="center"/>
    </xf>
    <xf numFmtId="42" fontId="2" fillId="3" borderId="17" xfId="0" applyNumberFormat="1" applyFont="1" applyFill="1" applyBorder="1" applyAlignment="1">
      <alignment vertical="center"/>
    </xf>
    <xf numFmtId="164" fontId="2" fillId="3" borderId="18" xfId="0" applyNumberFormat="1" applyFont="1" applyFill="1" applyBorder="1" applyAlignment="1">
      <alignment vertical="center"/>
    </xf>
    <xf numFmtId="164" fontId="2" fillId="3" borderId="19" xfId="0" applyNumberFormat="1" applyFont="1" applyFill="1" applyBorder="1" applyAlignment="1">
      <alignment vertical="center"/>
    </xf>
    <xf numFmtId="42" fontId="2" fillId="3" borderId="20" xfId="0" applyNumberFormat="1" applyFont="1" applyFill="1" applyBorder="1" applyAlignment="1">
      <alignment vertical="center"/>
    </xf>
    <xf numFmtId="164" fontId="2" fillId="3" borderId="21" xfId="0" applyNumberFormat="1" applyFont="1" applyFill="1" applyBorder="1" applyAlignment="1">
      <alignment vertical="center"/>
    </xf>
    <xf numFmtId="164" fontId="2" fillId="3" borderId="22" xfId="0" applyNumberFormat="1" applyFont="1" applyFill="1" applyBorder="1" applyAlignment="1">
      <alignment vertical="center"/>
    </xf>
    <xf numFmtId="42" fontId="3" fillId="3" borderId="4" xfId="0" applyNumberFormat="1" applyFont="1" applyFill="1" applyBorder="1" applyAlignment="1">
      <alignment vertical="center"/>
    </xf>
    <xf numFmtId="0" fontId="2" fillId="3" borderId="23" xfId="0" applyFont="1" applyFill="1" applyBorder="1" applyAlignment="1">
      <alignment vertical="center"/>
    </xf>
    <xf numFmtId="0" fontId="2" fillId="3" borderId="0" xfId="0" applyFont="1" applyFill="1" applyAlignment="1">
      <alignment vertical="center"/>
    </xf>
    <xf numFmtId="164" fontId="2" fillId="3" borderId="24" xfId="0" applyNumberFormat="1" applyFont="1" applyFill="1" applyBorder="1" applyAlignment="1">
      <alignment vertical="center"/>
    </xf>
    <xf numFmtId="164" fontId="2" fillId="3" borderId="25" xfId="0" applyNumberFormat="1" applyFont="1" applyFill="1" applyBorder="1" applyAlignment="1">
      <alignment vertical="center"/>
    </xf>
    <xf numFmtId="0" fontId="2" fillId="3" borderId="26" xfId="0" applyFont="1" applyFill="1" applyBorder="1" applyAlignment="1">
      <alignment vertical="center"/>
    </xf>
    <xf numFmtId="164" fontId="2" fillId="3" borderId="27" xfId="0" applyNumberFormat="1" applyFont="1" applyFill="1" applyBorder="1" applyAlignment="1">
      <alignment vertical="center"/>
    </xf>
    <xf numFmtId="0" fontId="14" fillId="0" borderId="0" xfId="0" applyFont="1" applyAlignment="1">
      <alignment horizontal="center" vertical="center"/>
    </xf>
    <xf numFmtId="0" fontId="3" fillId="6" borderId="10" xfId="0" applyFont="1" applyFill="1" applyBorder="1" applyAlignment="1">
      <alignment horizontal="left"/>
    </xf>
    <xf numFmtId="0" fontId="5" fillId="0" borderId="0" xfId="0" applyFont="1" applyAlignment="1">
      <alignment horizontal="left"/>
    </xf>
    <xf numFmtId="0" fontId="0" fillId="0" borderId="0" xfId="0" applyAlignment="1">
      <alignment horizontal="left"/>
    </xf>
    <xf numFmtId="0" fontId="13" fillId="0" borderId="0" xfId="0" applyFont="1" applyAlignment="1">
      <alignment horizontal="center"/>
    </xf>
  </cellXfs>
  <cellStyles count="2">
    <cellStyle name="Normal" xfId="0" builtinId="0"/>
    <cellStyle name="Per cent" xfId="1" builtinId="5"/>
  </cellStyles>
  <dxfs count="169">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theme="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1"/>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1"/>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1"/>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1"/>
        </left>
        <right/>
        <top style="thin">
          <color theme="1"/>
        </top>
        <bottom style="thin">
          <color theme="1"/>
        </bottom>
        <vertical/>
        <horizontal style="thin">
          <color theme="1"/>
        </horizont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2" tint="-0.89992980742820516"/>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2" tint="-0.89992980742820516"/>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2" tint="-0.89996032593768116"/>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2" tint="-0.89996032593768116"/>
        </left>
        <right/>
        <top style="thin">
          <color theme="2" tint="-0.89992980742820516"/>
        </top>
        <bottom style="thin">
          <color theme="2" tint="-0.89992980742820516"/>
        </bottom>
        <vertical/>
        <horizontal style="thin">
          <color theme="2" tint="-0.89992980742820516"/>
        </horizontal>
      </border>
    </dxf>
    <dxf>
      <border outline="0">
        <bottom style="thin">
          <color theme="2" tint="-0.89996032593768116"/>
        </bottom>
      </border>
    </dxf>
    <dxf>
      <font>
        <strike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2" tint="-0.89996032593768116"/>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2" tint="-0.89996032593768116"/>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2" tint="-0.89996032593768116"/>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2" tint="-0.89996032593768116"/>
        </left>
        <right/>
        <top style="thin">
          <color theme="2" tint="-0.89996032593768116"/>
        </top>
        <bottom style="thin">
          <color theme="2" tint="-0.89996032593768116"/>
        </bottom>
        <vertical/>
        <horizontal style="thin">
          <color theme="2" tint="-0.89996032593768116"/>
        </horizont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2" tint="-0.89996032593768116"/>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2" tint="-0.89996032593768116"/>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2" tint="-0.89996032593768116"/>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2" tint="-0.89996032593768116"/>
        </left>
        <right/>
        <top style="thin">
          <color theme="2" tint="-0.89996032593768116"/>
        </top>
        <bottom style="thin">
          <color theme="2" tint="-0.89996032593768116"/>
        </bottom>
        <vertical/>
        <horizontal style="thin">
          <color theme="2" tint="-0.89996032593768116"/>
        </horizont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theme="6" tint="0.39997558519241921"/>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1"/>
        <color theme="1"/>
        <name val="Times New Roman"/>
        <family val="1"/>
        <scheme val="none"/>
      </font>
      <fill>
        <patternFill patternType="solid">
          <fgColor indexed="64"/>
          <bgColor theme="0"/>
        </patternFill>
      </fill>
    </dxf>
    <dxf>
      <border>
        <bottom style="medium">
          <color indexed="64"/>
        </bottom>
      </border>
    </dxf>
    <dxf>
      <font>
        <strike val="0"/>
        <outline val="0"/>
        <shadow val="0"/>
        <u val="none"/>
        <vertAlign val="baseline"/>
        <sz val="11"/>
        <color theme="1"/>
        <name val="Times New Roman"/>
        <family val="1"/>
        <scheme val="none"/>
      </font>
      <fill>
        <patternFill patternType="solid">
          <fgColor indexed="64"/>
          <bgColor theme="7"/>
        </patternFill>
      </fill>
      <alignment horizontal="center" vertical="center" textRotation="0" wrapText="0" indent="0" justifyLastLine="0" shrinkToFit="0" readingOrder="0"/>
      <border diagonalUp="0" diagonalDown="0">
        <left/>
        <right/>
        <top/>
        <bottom/>
        <vertical/>
        <horizontal/>
      </border>
    </dxf>
  </dxfs>
  <tableStyles count="1" defaultTableStyle="TableStyleMedium2" defaultPivotStyle="PivotStyleLight16">
    <tableStyle name="Slicer Style 1" pivot="0" table="0" count="4" xr9:uid="{308E57BB-ACB9-4C8B-8313-8079E15B6E71}"/>
  </tableStyles>
  <colors>
    <mruColors>
      <color rgb="FFFF3333"/>
      <color rgb="FFE6E9EE"/>
      <color rgb="FFFF822D"/>
      <color rgb="FFFFCC00"/>
      <color rgb="FFFFA365"/>
      <color rgb="FFC44F00"/>
      <color rgb="FFFF9900"/>
      <color rgb="FFFF3300"/>
      <color rgb="FFEF9867"/>
      <color rgb="FFAFAFAF"/>
    </mruColors>
  </colors>
  <extLst>
    <ext xmlns:x14="http://schemas.microsoft.com/office/spreadsheetml/2009/9/main" uri="{46F421CA-312F-682f-3DD2-61675219B42D}">
      <x14:dxfs count="4">
        <dxf>
          <fill>
            <gradientFill degree="90">
              <stop position="0">
                <color theme="5" tint="0.40000610370189521"/>
              </stop>
              <stop position="1">
                <color rgb="FF0070C0"/>
              </stop>
            </gradientFill>
          </fill>
          <border diagonalUp="0" diagonalDown="0">
            <left/>
            <right/>
            <top/>
            <bottom/>
            <vertical/>
            <horizontal/>
          </border>
        </dxf>
        <dxf>
          <fill>
            <gradientFill degree="90">
              <stop position="0">
                <color theme="0"/>
              </stop>
              <stop position="1">
                <color theme="5" tint="0.40000610370189521"/>
              </stop>
            </gradientFill>
          </fill>
        </dxf>
        <dxf>
          <font>
            <b/>
            <i val="0"/>
            <strike val="0"/>
            <sz val="12"/>
            <color theme="0"/>
            <name val="Times New Roman"/>
            <family val="1"/>
            <scheme val="none"/>
          </font>
          <fill>
            <patternFill>
              <bgColor theme="4" tint="0.39994506668294322"/>
            </patternFill>
          </fill>
          <border diagonalUp="0" diagonalDown="0">
            <left/>
            <right/>
            <top/>
            <bottom/>
            <vertical/>
            <horizontal/>
          </border>
        </dxf>
        <dxf>
          <font>
            <b val="0"/>
            <i val="0"/>
            <sz val="11"/>
            <name val="Times New Roman"/>
            <family val="1"/>
            <scheme val="none"/>
          </font>
          <fill>
            <patternFill>
              <fgColor theme="1"/>
              <bgColor theme="7"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0555555555555555E-2"/>
          <c:y val="0.17171296296296296"/>
          <c:w val="0.93888888888888888"/>
          <c:h val="0.71254629629629618"/>
        </c:manualLayout>
      </c:layout>
      <c:barChart>
        <c:barDir val="bar"/>
        <c:grouping val="stacked"/>
        <c:varyColors val="0"/>
        <c:ser>
          <c:idx val="0"/>
          <c:order val="0"/>
          <c:spPr>
            <a:solidFill>
              <a:schemeClr val="accent6">
                <a:lumMod val="75000"/>
              </a:schemeClr>
            </a:solidFill>
            <a:ln>
              <a:noFill/>
            </a:ln>
            <a:effectLst/>
          </c:spPr>
          <c:invertIfNegative val="0"/>
          <c:val>
            <c:numRef>
              <c:f>Calcul!$C$4</c:f>
              <c:numCache>
                <c:formatCode>0%</c:formatCode>
                <c:ptCount val="1"/>
                <c:pt idx="0">
                  <c:v>0</c:v>
                </c:pt>
              </c:numCache>
            </c:numRef>
          </c:val>
          <c:extLst>
            <c:ext xmlns:c16="http://schemas.microsoft.com/office/drawing/2014/chart" uri="{C3380CC4-5D6E-409C-BE32-E72D297353CC}">
              <c16:uniqueId val="{00000000-B26B-4BE3-9568-F6BF7535355C}"/>
            </c:ext>
          </c:extLst>
        </c:ser>
        <c:ser>
          <c:idx val="1"/>
          <c:order val="1"/>
          <c:spPr>
            <a:solidFill>
              <a:schemeClr val="dk1">
                <a:tint val="55000"/>
              </a:schemeClr>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0-94F8-4B0E-87CB-FD4D595532B3}"/>
              </c:ext>
            </c:extLst>
          </c:dPt>
          <c:val>
            <c:numRef>
              <c:f>Calcul!$D$4</c:f>
              <c:numCache>
                <c:formatCode>0%</c:formatCode>
                <c:ptCount val="1"/>
                <c:pt idx="0">
                  <c:v>1</c:v>
                </c:pt>
              </c:numCache>
            </c:numRef>
          </c:val>
          <c:extLst>
            <c:ext xmlns:c16="http://schemas.microsoft.com/office/drawing/2014/chart" uri="{C3380CC4-5D6E-409C-BE32-E72D297353CC}">
              <c16:uniqueId val="{00000001-B26B-4BE3-9568-F6BF7535355C}"/>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5.4396682772871401E-2"/>
          <c:y val="8.8938495227161601E-2"/>
          <c:w val="0.93888888888888888"/>
          <c:h val="0.88432723175372596"/>
        </c:manualLayout>
      </c:layout>
      <c:barChart>
        <c:barDir val="bar"/>
        <c:grouping val="stacked"/>
        <c:varyColors val="0"/>
        <c:ser>
          <c:idx val="0"/>
          <c:order val="0"/>
          <c:spPr>
            <a:solidFill>
              <a:schemeClr val="accent2"/>
            </a:solidFill>
            <a:ln>
              <a:noFill/>
            </a:ln>
            <a:effectLst/>
          </c:spPr>
          <c:invertIfNegative val="0"/>
          <c:val>
            <c:numRef>
              <c:f>Calcul!$G$4</c:f>
              <c:numCache>
                <c:formatCode>0%</c:formatCode>
                <c:ptCount val="1"/>
                <c:pt idx="0">
                  <c:v>0.11086474501108648</c:v>
                </c:pt>
              </c:numCache>
            </c:numRef>
          </c:val>
          <c:extLst>
            <c:ext xmlns:c16="http://schemas.microsoft.com/office/drawing/2014/chart" uri="{C3380CC4-5D6E-409C-BE32-E72D297353CC}">
              <c16:uniqueId val="{00000000-ECA1-4AB7-9377-8608F88A08CE}"/>
            </c:ext>
          </c:extLst>
        </c:ser>
        <c:ser>
          <c:idx val="1"/>
          <c:order val="1"/>
          <c:spPr>
            <a:solidFill>
              <a:schemeClr val="bg2"/>
            </a:solidFill>
            <a:ln>
              <a:noFill/>
            </a:ln>
            <a:effectLst/>
          </c:spPr>
          <c:invertIfNegative val="0"/>
          <c:val>
            <c:numRef>
              <c:f>Calcul!$H$4</c:f>
              <c:numCache>
                <c:formatCode>0%</c:formatCode>
                <c:ptCount val="1"/>
                <c:pt idx="0">
                  <c:v>1</c:v>
                </c:pt>
              </c:numCache>
            </c:numRef>
          </c:val>
          <c:extLst>
            <c:ext xmlns:c16="http://schemas.microsoft.com/office/drawing/2014/chart" uri="{C3380CC4-5D6E-409C-BE32-E72D297353CC}">
              <c16:uniqueId val="{00000001-ECA1-4AB7-9377-8608F88A08CE}"/>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0555555555555555E-2"/>
          <c:y val="0.17171296296296296"/>
          <c:w val="0.93888888888888888"/>
          <c:h val="0.71254629629629618"/>
        </c:manualLayout>
      </c:layout>
      <c:barChart>
        <c:barDir val="bar"/>
        <c:grouping val="stacked"/>
        <c:varyColors val="0"/>
        <c:ser>
          <c:idx val="0"/>
          <c:order val="0"/>
          <c:spPr>
            <a:solidFill>
              <a:srgbClr val="FF0000"/>
            </a:solidFill>
            <a:ln>
              <a:noFill/>
            </a:ln>
            <a:effectLst/>
          </c:spPr>
          <c:invertIfNegative val="0"/>
          <c:val>
            <c:numRef>
              <c:f>Calcul!$O$4</c:f>
              <c:numCache>
                <c:formatCode>0%</c:formatCode>
                <c:ptCount val="1"/>
                <c:pt idx="0">
                  <c:v>2.5380710659898477E-2</c:v>
                </c:pt>
              </c:numCache>
            </c:numRef>
          </c:val>
          <c:extLst>
            <c:ext xmlns:c16="http://schemas.microsoft.com/office/drawing/2014/chart" uri="{C3380CC4-5D6E-409C-BE32-E72D297353CC}">
              <c16:uniqueId val="{00000000-2B5E-4E2D-B197-E1100B28191D}"/>
            </c:ext>
          </c:extLst>
        </c:ser>
        <c:ser>
          <c:idx val="1"/>
          <c:order val="1"/>
          <c:spPr>
            <a:solidFill>
              <a:schemeClr val="dk1">
                <a:tint val="55000"/>
              </a:schemeClr>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2-2B5E-4E2D-B197-E1100B28191D}"/>
              </c:ext>
            </c:extLst>
          </c:dPt>
          <c:val>
            <c:numRef>
              <c:f>Calcul!$P$4</c:f>
              <c:numCache>
                <c:formatCode>0%</c:formatCode>
                <c:ptCount val="1"/>
                <c:pt idx="0">
                  <c:v>1</c:v>
                </c:pt>
              </c:numCache>
            </c:numRef>
          </c:val>
          <c:extLst>
            <c:ext xmlns:c16="http://schemas.microsoft.com/office/drawing/2014/chart" uri="{C3380CC4-5D6E-409C-BE32-E72D297353CC}">
              <c16:uniqueId val="{00000003-2B5E-4E2D-B197-E1100B28191D}"/>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0555421137971585E-2"/>
          <c:y val="0.17171313087719006"/>
          <c:w val="0.93888888888888888"/>
          <c:h val="0.71254629629629618"/>
        </c:manualLayout>
      </c:layout>
      <c:barChart>
        <c:barDir val="bar"/>
        <c:grouping val="stacked"/>
        <c:varyColors val="0"/>
        <c:ser>
          <c:idx val="0"/>
          <c:order val="0"/>
          <c:spPr>
            <a:solidFill>
              <a:schemeClr val="dk1">
                <a:tint val="88500"/>
              </a:schemeClr>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0-E1FA-4EFC-8FC4-097A96DD0598}"/>
              </c:ext>
            </c:extLst>
          </c:dPt>
          <c:val>
            <c:numRef>
              <c:f>Calcul!$O$6</c:f>
              <c:numCache>
                <c:formatCode>0%</c:formatCode>
                <c:ptCount val="1"/>
                <c:pt idx="0">
                  <c:v>2.4479804161566709E-2</c:v>
                </c:pt>
              </c:numCache>
            </c:numRef>
          </c:val>
          <c:extLst>
            <c:ext xmlns:c16="http://schemas.microsoft.com/office/drawing/2014/chart" uri="{C3380CC4-5D6E-409C-BE32-E72D297353CC}">
              <c16:uniqueId val="{00000000-FD6B-4199-9A36-457D0986D802}"/>
            </c:ext>
          </c:extLst>
        </c:ser>
        <c:ser>
          <c:idx val="1"/>
          <c:order val="1"/>
          <c:spPr>
            <a:solidFill>
              <a:srgbClr val="E6E9EE"/>
            </a:solidFill>
            <a:ln>
              <a:noFill/>
            </a:ln>
            <a:effectLst/>
          </c:spPr>
          <c:invertIfNegative val="0"/>
          <c:val>
            <c:numRef>
              <c:f>Calcul!$P$6</c:f>
              <c:numCache>
                <c:formatCode>0%</c:formatCode>
                <c:ptCount val="1"/>
                <c:pt idx="0">
                  <c:v>1</c:v>
                </c:pt>
              </c:numCache>
            </c:numRef>
          </c:val>
          <c:extLst>
            <c:ext xmlns:c16="http://schemas.microsoft.com/office/drawing/2014/chart" uri="{C3380CC4-5D6E-409C-BE32-E72D297353CC}">
              <c16:uniqueId val="{00000001-FD6B-4199-9A36-457D0986D802}"/>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57383205012387"/>
          <c:y val="6.446887934443872E-2"/>
          <c:w val="0.71783037297945762"/>
          <c:h val="0.87106224131112253"/>
        </c:manualLayout>
      </c:layout>
      <c:barChart>
        <c:barDir val="bar"/>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Calcul!$H$10:$H$14</c:f>
              <c:strCache>
                <c:ptCount val="5"/>
                <c:pt idx="0">
                  <c:v>Revenu</c:v>
                </c:pt>
                <c:pt idx="1">
                  <c:v>Dépense</c:v>
                </c:pt>
                <c:pt idx="2">
                  <c:v>Facture</c:v>
                </c:pt>
                <c:pt idx="3">
                  <c:v>Crédit</c:v>
                </c:pt>
                <c:pt idx="4">
                  <c:v>Epargne</c:v>
                </c:pt>
              </c:strCache>
            </c:strRef>
          </c:cat>
          <c:val>
            <c:numRef>
              <c:f>Calcul!$I$10:$I$14</c:f>
              <c:numCache>
                <c:formatCode>General</c:formatCode>
                <c:ptCount val="5"/>
              </c:numCache>
            </c:numRef>
          </c:val>
          <c:extLst>
            <c:ext xmlns:c16="http://schemas.microsoft.com/office/drawing/2014/chart" uri="{C3380CC4-5D6E-409C-BE32-E72D297353CC}">
              <c16:uniqueId val="{00000000-E4E7-4134-9630-344A4A242055}"/>
            </c:ext>
          </c:extLst>
        </c:ser>
        <c:ser>
          <c:idx val="1"/>
          <c:order val="1"/>
          <c:spPr>
            <a:solidFill>
              <a:schemeClr val="accent2"/>
            </a:solidFill>
            <a:ln>
              <a:noFill/>
            </a:ln>
            <a:effectLst/>
          </c:spPr>
          <c:invertIfNegative val="0"/>
          <c:dPt>
            <c:idx val="0"/>
            <c:invertIfNegative val="0"/>
            <c:bubble3D val="0"/>
            <c:spPr>
              <a:solidFill>
                <a:srgbClr val="00B050"/>
              </a:solidFill>
              <a:ln w="38100">
                <a:noFill/>
              </a:ln>
              <a:effectLst/>
            </c:spPr>
            <c:extLst>
              <c:ext xmlns:c16="http://schemas.microsoft.com/office/drawing/2014/chart" uri="{C3380CC4-5D6E-409C-BE32-E72D297353CC}">
                <c16:uniqueId val="{00000001-13DF-4E2D-9AF1-A4CE4B6E216D}"/>
              </c:ext>
            </c:extLst>
          </c:dPt>
          <c:dPt>
            <c:idx val="1"/>
            <c:invertIfNegative val="0"/>
            <c:bubble3D val="0"/>
            <c:spPr>
              <a:solidFill>
                <a:srgbClr val="FFC000"/>
              </a:solidFill>
              <a:ln w="38100">
                <a:noFill/>
              </a:ln>
              <a:effectLst/>
            </c:spPr>
            <c:extLst>
              <c:ext xmlns:c16="http://schemas.microsoft.com/office/drawing/2014/chart" uri="{C3380CC4-5D6E-409C-BE32-E72D297353CC}">
                <c16:uniqueId val="{00000002-13DF-4E2D-9AF1-A4CE4B6E216D}"/>
              </c:ext>
            </c:extLst>
          </c:dPt>
          <c:dPt>
            <c:idx val="2"/>
            <c:invertIfNegative val="0"/>
            <c:bubble3D val="0"/>
            <c:spPr>
              <a:solidFill>
                <a:srgbClr val="FFC000"/>
              </a:solidFill>
              <a:ln w="38100">
                <a:noFill/>
              </a:ln>
              <a:effectLst/>
            </c:spPr>
            <c:extLst>
              <c:ext xmlns:c16="http://schemas.microsoft.com/office/drawing/2014/chart" uri="{C3380CC4-5D6E-409C-BE32-E72D297353CC}">
                <c16:uniqueId val="{00000003-13DF-4E2D-9AF1-A4CE4B6E216D}"/>
              </c:ext>
            </c:extLst>
          </c:dPt>
          <c:dPt>
            <c:idx val="3"/>
            <c:invertIfNegative val="0"/>
            <c:bubble3D val="0"/>
            <c:spPr>
              <a:solidFill>
                <a:srgbClr val="FFC000"/>
              </a:solidFill>
              <a:ln w="38100">
                <a:noFill/>
              </a:ln>
              <a:effectLst/>
            </c:spPr>
            <c:extLst>
              <c:ext xmlns:c16="http://schemas.microsoft.com/office/drawing/2014/chart" uri="{C3380CC4-5D6E-409C-BE32-E72D297353CC}">
                <c16:uniqueId val="{00000004-13DF-4E2D-9AF1-A4CE4B6E216D}"/>
              </c:ext>
            </c:extLst>
          </c:dPt>
          <c:dPt>
            <c:idx val="4"/>
            <c:invertIfNegative val="0"/>
            <c:bubble3D val="0"/>
            <c:spPr>
              <a:solidFill>
                <a:srgbClr val="FF9900"/>
              </a:solidFill>
              <a:ln w="38100">
                <a:noFill/>
              </a:ln>
              <a:effectLst/>
            </c:spPr>
            <c:extLst>
              <c:ext xmlns:c16="http://schemas.microsoft.com/office/drawing/2014/chart" uri="{C3380CC4-5D6E-409C-BE32-E72D297353CC}">
                <c16:uniqueId val="{00000005-13DF-4E2D-9AF1-A4CE4B6E216D}"/>
              </c:ext>
            </c:extLst>
          </c:dPt>
          <c:dLbls>
            <c:dLbl>
              <c:idx val="0"/>
              <c:layout>
                <c:manualLayout>
                  <c:x val="0.50393692455627759"/>
                  <c:y val="-5.860807213130765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DF-4E2D-9AF1-A4CE4B6E216D}"/>
                </c:ext>
              </c:extLst>
            </c:dLbl>
            <c:dLbl>
              <c:idx val="1"/>
              <c:layout>
                <c:manualLayout>
                  <c:x val="0.3779526934172081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DF-4E2D-9AF1-A4CE4B6E216D}"/>
                </c:ext>
              </c:extLst>
            </c:dLbl>
            <c:dLbl>
              <c:idx val="2"/>
              <c:layout>
                <c:manualLayout>
                  <c:x val="0.55433061701190534"/>
                  <c:y val="5.372344550253875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3DF-4E2D-9AF1-A4CE4B6E216D}"/>
                </c:ext>
              </c:extLst>
            </c:dLbl>
            <c:dLbl>
              <c:idx val="3"/>
              <c:layout>
                <c:manualLayout>
                  <c:x val="0.51233587329888219"/>
                  <c:y val="1.75824216393923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3DF-4E2D-9AF1-A4CE4B6E216D}"/>
                </c:ext>
              </c:extLst>
            </c:dLbl>
            <c:dLbl>
              <c:idx val="4"/>
              <c:layout>
                <c:manualLayout>
                  <c:x val="0.56692904012581224"/>
                  <c:y val="-1.75824216393922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3DF-4E2D-9AF1-A4CE4B6E216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Calcul!$H$10:$H$14</c:f>
              <c:strCache>
                <c:ptCount val="5"/>
                <c:pt idx="0">
                  <c:v>Revenu</c:v>
                </c:pt>
                <c:pt idx="1">
                  <c:v>Dépense</c:v>
                </c:pt>
                <c:pt idx="2">
                  <c:v>Facture</c:v>
                </c:pt>
                <c:pt idx="3">
                  <c:v>Crédit</c:v>
                </c:pt>
                <c:pt idx="4">
                  <c:v>Epargne</c:v>
                </c:pt>
              </c:strCache>
            </c:strRef>
          </c:cat>
          <c:val>
            <c:numRef>
              <c:f>Calcul!$J$10:$J$14</c:f>
              <c:numCache>
                <c:formatCode>_-* #\ ##0\ [$€-1]_-;\-* #\ ##0\ [$€-1]_-;_-* "-"\ [$€-1]_-;_-@_-</c:formatCode>
                <c:ptCount val="5"/>
                <c:pt idx="0">
                  <c:v>0</c:v>
                </c:pt>
                <c:pt idx="1">
                  <c:v>500</c:v>
                </c:pt>
                <c:pt idx="2">
                  <c:v>0</c:v>
                </c:pt>
                <c:pt idx="3">
                  <c:v>100</c:v>
                </c:pt>
                <c:pt idx="4">
                  <c:v>0</c:v>
                </c:pt>
              </c:numCache>
            </c:numRef>
          </c:val>
          <c:extLst>
            <c:ext xmlns:c16="http://schemas.microsoft.com/office/drawing/2014/chart" uri="{C3380CC4-5D6E-409C-BE32-E72D297353CC}">
              <c16:uniqueId val="{00000001-E4E7-4134-9630-344A4A242055}"/>
            </c:ext>
          </c:extLst>
        </c:ser>
        <c:dLbls>
          <c:showLegendKey val="0"/>
          <c:showVal val="1"/>
          <c:showCatName val="0"/>
          <c:showSerName val="0"/>
          <c:showPercent val="0"/>
          <c:showBubbleSize val="0"/>
        </c:dLbls>
        <c:gapWidth val="50"/>
        <c:overlap val="100"/>
        <c:axId val="558584575"/>
        <c:axId val="558582655"/>
      </c:barChart>
      <c:catAx>
        <c:axId val="558584575"/>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fr-FR"/>
          </a:p>
        </c:txPr>
        <c:crossAx val="558582655"/>
        <c:crosses val="autoZero"/>
        <c:auto val="1"/>
        <c:lblAlgn val="ctr"/>
        <c:lblOffset val="100"/>
        <c:noMultiLvlLbl val="0"/>
      </c:catAx>
      <c:valAx>
        <c:axId val="558582655"/>
        <c:scaling>
          <c:orientation val="minMax"/>
        </c:scaling>
        <c:delete val="1"/>
        <c:axPos val="t"/>
        <c:numFmt formatCode="General" sourceLinked="1"/>
        <c:majorTickMark val="none"/>
        <c:minorTickMark val="none"/>
        <c:tickLblPos val="nextTo"/>
        <c:crossAx val="5585845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rnd"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F80-4F14-AC82-FE578A3AE4B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F80-4F14-AC82-FE578A3AE4B9}"/>
              </c:ext>
            </c:extLst>
          </c:dPt>
          <c:dLbls>
            <c:delete val="1"/>
          </c:dLbls>
          <c:val>
            <c:numRef>
              <c:f>Calcul!$C$12:$C$13</c:f>
              <c:numCache>
                <c:formatCode>0%</c:formatCode>
                <c:ptCount val="2"/>
                <c:pt idx="0">
                  <c:v>0</c:v>
                </c:pt>
                <c:pt idx="1">
                  <c:v>1</c:v>
                </c:pt>
              </c:numCache>
            </c:numRef>
          </c:val>
          <c:extLst>
            <c:ext xmlns:c16="http://schemas.microsoft.com/office/drawing/2014/chart" uri="{C3380CC4-5D6E-409C-BE32-E72D297353CC}">
              <c16:uniqueId val="{00000004-9F80-4F14-AC82-FE578A3AE4B9}"/>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Calcul!$E$16</c:f>
              <c:strCache>
                <c:ptCount val="1"/>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EE8-4224-83BC-C76E08E6C5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EE8-4224-83BC-C76E08E6C5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EE8-4224-83BC-C76E08E6C5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EE8-4224-83BC-C76E08E6C5FC}"/>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Calcul!$D$17:$D$20</c:f>
              <c:strCache>
                <c:ptCount val="4"/>
                <c:pt idx="0">
                  <c:v>Variables</c:v>
                </c:pt>
                <c:pt idx="1">
                  <c:v>Facture</c:v>
                </c:pt>
                <c:pt idx="2">
                  <c:v>Crédit</c:v>
                </c:pt>
                <c:pt idx="3">
                  <c:v>Epargne</c:v>
                </c:pt>
              </c:strCache>
            </c:strRef>
          </c:cat>
          <c:val>
            <c:numRef>
              <c:f>Calcul!$E$17:$E$20</c:f>
              <c:numCache>
                <c:formatCode>General</c:formatCode>
                <c:ptCount val="4"/>
              </c:numCache>
            </c:numRef>
          </c:val>
          <c:extLst>
            <c:ext xmlns:c16="http://schemas.microsoft.com/office/drawing/2014/chart" uri="{C3380CC4-5D6E-409C-BE32-E72D297353CC}">
              <c16:uniqueId val="{00000008-AEE8-4224-83BC-C76E08E6C5FC}"/>
            </c:ext>
          </c:extLst>
        </c:ser>
        <c:ser>
          <c:idx val="1"/>
          <c:order val="1"/>
          <c:tx>
            <c:strRef>
              <c:f>Calcul!$F$16</c:f>
              <c:strCache>
                <c:ptCount val="1"/>
                <c:pt idx="0">
                  <c:v>Réel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AEE8-4224-83BC-C76E08E6C5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AEE8-4224-83BC-C76E08E6C5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AEE8-4224-83BC-C76E08E6C5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AEE8-4224-83BC-C76E08E6C5F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Calcul!$D$17:$D$20</c:f>
              <c:strCache>
                <c:ptCount val="4"/>
                <c:pt idx="0">
                  <c:v>Variables</c:v>
                </c:pt>
                <c:pt idx="1">
                  <c:v>Facture</c:v>
                </c:pt>
                <c:pt idx="2">
                  <c:v>Crédit</c:v>
                </c:pt>
                <c:pt idx="3">
                  <c:v>Epargne</c:v>
                </c:pt>
              </c:strCache>
            </c:strRef>
          </c:cat>
          <c:val>
            <c:numRef>
              <c:f>Calcul!$F$17:$F$20</c:f>
              <c:numCache>
                <c:formatCode>_-* #\ ##0.00\ [$€-1]_-;\-* #\ ##0.00\ [$€-1]_-;_-* "-"\ [$€-1]_-;_-@_-</c:formatCode>
                <c:ptCount val="4"/>
                <c:pt idx="0">
                  <c:v>500</c:v>
                </c:pt>
                <c:pt idx="1">
                  <c:v>0</c:v>
                </c:pt>
                <c:pt idx="2">
                  <c:v>100</c:v>
                </c:pt>
                <c:pt idx="3">
                  <c:v>0</c:v>
                </c:pt>
              </c:numCache>
            </c:numRef>
          </c:val>
          <c:extLst>
            <c:ext xmlns:c16="http://schemas.microsoft.com/office/drawing/2014/chart" uri="{C3380CC4-5D6E-409C-BE32-E72D297353CC}">
              <c16:uniqueId val="{00000011-AEE8-4224-83BC-C76E08E6C5FC}"/>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Réel</c:v>
          </c:tx>
          <c:spPr>
            <a:solidFill>
              <a:srgbClr val="FF82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Calcul!$N$12:$N$15</c:f>
              <c:strCache>
                <c:ptCount val="4"/>
                <c:pt idx="0">
                  <c:v>Retraite</c:v>
                </c:pt>
                <c:pt idx="1">
                  <c:v>Projet</c:v>
                </c:pt>
                <c:pt idx="2">
                  <c:v>Voyage</c:v>
                </c:pt>
                <c:pt idx="3">
                  <c:v>Urgence</c:v>
                </c:pt>
              </c:strCache>
            </c:strRef>
          </c:cat>
          <c:val>
            <c:numRef>
              <c:f>Calcul!$O$12:$O$15</c:f>
              <c:numCache>
                <c:formatCode>_-* #\ ##0\ [$€-1]_-;\-* #\ ##0\ [$€-1]_-;_-* "-"\ [$€-1]_-;_-@_-</c:formatCode>
                <c:ptCount val="4"/>
                <c:pt idx="0">
                  <c:v>300</c:v>
                </c:pt>
                <c:pt idx="1">
                  <c:v>80</c:v>
                </c:pt>
                <c:pt idx="2">
                  <c:v>250</c:v>
                </c:pt>
                <c:pt idx="3">
                  <c:v>300</c:v>
                </c:pt>
              </c:numCache>
            </c:numRef>
          </c:val>
          <c:extLst>
            <c:ext xmlns:c16="http://schemas.microsoft.com/office/drawing/2014/chart" uri="{C3380CC4-5D6E-409C-BE32-E72D297353CC}">
              <c16:uniqueId val="{00000000-DECE-4FFD-9FFA-06C18540DB8B}"/>
            </c:ext>
          </c:extLst>
        </c:ser>
        <c:ser>
          <c:idx val="1"/>
          <c:order val="1"/>
          <c:tx>
            <c:v>Budjet</c:v>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Calcul!$N$12:$N$15</c:f>
              <c:strCache>
                <c:ptCount val="4"/>
                <c:pt idx="0">
                  <c:v>Retraite</c:v>
                </c:pt>
                <c:pt idx="1">
                  <c:v>Projet</c:v>
                </c:pt>
                <c:pt idx="2">
                  <c:v>Voyage</c:v>
                </c:pt>
                <c:pt idx="3">
                  <c:v>Urgence</c:v>
                </c:pt>
              </c:strCache>
            </c:strRef>
          </c:cat>
          <c:val>
            <c:numRef>
              <c:f>Calcul!$P$12:$P$15</c:f>
              <c:numCache>
                <c:formatCode>_-* #\ ##0\ [$€-1]_-;\-* #\ ##0\ [$€-1]_-;_-* "-"\ [$€-1]_-;_-@_-</c:formatCode>
                <c:ptCount val="4"/>
                <c:pt idx="0">
                  <c:v>1440</c:v>
                </c:pt>
                <c:pt idx="1">
                  <c:v>1800</c:v>
                </c:pt>
                <c:pt idx="2">
                  <c:v>1440</c:v>
                </c:pt>
                <c:pt idx="3">
                  <c:v>1200</c:v>
                </c:pt>
              </c:numCache>
            </c:numRef>
          </c:val>
          <c:extLst>
            <c:ext xmlns:c16="http://schemas.microsoft.com/office/drawing/2014/chart" uri="{C3380CC4-5D6E-409C-BE32-E72D297353CC}">
              <c16:uniqueId val="{00000001-DECE-4FFD-9FFA-06C18540DB8B}"/>
            </c:ext>
          </c:extLst>
        </c:ser>
        <c:dLbls>
          <c:dLblPos val="outEnd"/>
          <c:showLegendKey val="0"/>
          <c:showVal val="1"/>
          <c:showCatName val="0"/>
          <c:showSerName val="0"/>
          <c:showPercent val="0"/>
          <c:showBubbleSize val="0"/>
        </c:dLbls>
        <c:gapWidth val="60"/>
        <c:axId val="279599487"/>
        <c:axId val="279607167"/>
      </c:barChart>
      <c:catAx>
        <c:axId val="27959948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fr-FR"/>
          </a:p>
        </c:txPr>
        <c:crossAx val="279607167"/>
        <c:crosses val="autoZero"/>
        <c:auto val="1"/>
        <c:lblAlgn val="ctr"/>
        <c:lblOffset val="100"/>
        <c:noMultiLvlLbl val="0"/>
      </c:catAx>
      <c:valAx>
        <c:axId val="279607167"/>
        <c:scaling>
          <c:orientation val="minMax"/>
        </c:scaling>
        <c:delete val="1"/>
        <c:axPos val="b"/>
        <c:numFmt formatCode="_-* #\ ##0\ [$€-1]_-;\-* #\ ##0\ [$€-1]_-;_-* &quot;-&quot;\ [$€-1]_-;_-@_-" sourceLinked="1"/>
        <c:majorTickMark val="none"/>
        <c:minorTickMark val="none"/>
        <c:tickLblPos val="nextTo"/>
        <c:crossAx val="279599487"/>
        <c:crosses val="autoZero"/>
        <c:crossBetween val="between"/>
      </c:valAx>
      <c:spPr>
        <a:noFill/>
        <a:ln>
          <a:noFill/>
        </a:ln>
        <a:effectLst/>
      </c:spPr>
    </c:plotArea>
    <c:legend>
      <c:legendPos val="t"/>
      <c:layout>
        <c:manualLayout>
          <c:xMode val="edge"/>
          <c:yMode val="edge"/>
          <c:x val="0.74026230119825986"/>
          <c:y val="3.5039960269651345E-2"/>
          <c:w val="0.22826810471313838"/>
          <c:h val="0.101657338013471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3.png"/><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hyperlink" Target="#Budjet!A1"/><Relationship Id="rId2" Type="http://schemas.openxmlformats.org/officeDocument/2006/relationships/chart" Target="../charts/chart1.xml"/><Relationship Id="rId1" Type="http://schemas.openxmlformats.org/officeDocument/2006/relationships/hyperlink" Target="#Dashboard!A1"/><Relationship Id="rId6" Type="http://schemas.openxmlformats.org/officeDocument/2006/relationships/chart" Target="../charts/chart5.xml"/><Relationship Id="rId11" Type="http://schemas.openxmlformats.org/officeDocument/2006/relationships/image" Target="../media/image2.png"/><Relationship Id="rId5" Type="http://schemas.openxmlformats.org/officeDocument/2006/relationships/chart" Target="../charts/chart4.xml"/><Relationship Id="rId15" Type="http://schemas.openxmlformats.org/officeDocument/2006/relationships/image" Target="../media/image4.png"/><Relationship Id="rId10" Type="http://schemas.openxmlformats.org/officeDocument/2006/relationships/image" Target="../media/image1.png"/><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hyperlink" Target="#Transact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7.png"/><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hyperlink" Target="#Transaction!A1"/><Relationship Id="rId5" Type="http://schemas.openxmlformats.org/officeDocument/2006/relationships/image" Target="../media/image6.png"/><Relationship Id="rId4" Type="http://schemas.openxmlformats.org/officeDocument/2006/relationships/hyperlink" Target="#Budjet!A1"/></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hyperlink" Target="#Transaction!A1"/><Relationship Id="rId5" Type="http://schemas.openxmlformats.org/officeDocument/2006/relationships/image" Target="../media/image9.png"/><Relationship Id="rId4" Type="http://schemas.openxmlformats.org/officeDocument/2006/relationships/hyperlink" Target="#Budjet!A1"/></Relationships>
</file>

<file path=xl/drawings/drawing1.xml><?xml version="1.0" encoding="utf-8"?>
<xdr:wsDr xmlns:xdr="http://schemas.openxmlformats.org/drawingml/2006/spreadsheetDrawing" xmlns:a="http://schemas.openxmlformats.org/drawingml/2006/main">
  <xdr:twoCellAnchor>
    <xdr:from>
      <xdr:col>3</xdr:col>
      <xdr:colOff>239232</xdr:colOff>
      <xdr:row>2</xdr:row>
      <xdr:rowOff>-1</xdr:rowOff>
    </xdr:from>
    <xdr:to>
      <xdr:col>5</xdr:col>
      <xdr:colOff>79745</xdr:colOff>
      <xdr:row>3</xdr:row>
      <xdr:rowOff>62024</xdr:rowOff>
    </xdr:to>
    <xdr:sp macro="" textlink="">
      <xdr:nvSpPr>
        <xdr:cNvPr id="59" name="Rectangle: Rounded Corners 58">
          <a:hlinkClick xmlns:r="http://schemas.openxmlformats.org/officeDocument/2006/relationships" r:id="rId1"/>
          <a:extLst>
            <a:ext uri="{FF2B5EF4-FFF2-40B4-BE49-F238E27FC236}">
              <a16:creationId xmlns:a16="http://schemas.microsoft.com/office/drawing/2014/main" id="{E7DC8F2C-BE9F-F428-0412-F7F13154E093}"/>
            </a:ext>
          </a:extLst>
        </xdr:cNvPr>
        <xdr:cNvSpPr/>
      </xdr:nvSpPr>
      <xdr:spPr>
        <a:xfrm>
          <a:off x="3172046" y="372139"/>
          <a:ext cx="1125280" cy="283536"/>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1</xdr:col>
      <xdr:colOff>18443</xdr:colOff>
      <xdr:row>10</xdr:row>
      <xdr:rowOff>39861</xdr:rowOff>
    </xdr:from>
    <xdr:to>
      <xdr:col>3</xdr:col>
      <xdr:colOff>418171</xdr:colOff>
      <xdr:row>14</xdr:row>
      <xdr:rowOff>152401</xdr:rowOff>
    </xdr:to>
    <xdr:sp macro="" textlink="">
      <xdr:nvSpPr>
        <xdr:cNvPr id="3" name="Rectangle: Rounded Corners 2">
          <a:extLst>
            <a:ext uri="{FF2B5EF4-FFF2-40B4-BE49-F238E27FC236}">
              <a16:creationId xmlns:a16="http://schemas.microsoft.com/office/drawing/2014/main" id="{79DE90D9-35C5-EC79-7B44-1EDB6C258536}"/>
            </a:ext>
          </a:extLst>
        </xdr:cNvPr>
        <xdr:cNvSpPr/>
      </xdr:nvSpPr>
      <xdr:spPr>
        <a:xfrm>
          <a:off x="506123" y="1502901"/>
          <a:ext cx="2868608" cy="1042180"/>
        </a:xfrm>
        <a:prstGeom prst="roundRect">
          <a:avLst/>
        </a:prstGeom>
        <a:noFill/>
        <a:ln>
          <a:gradFill flip="none" rotWithShape="1">
            <a:gsLst>
              <a:gs pos="0">
                <a:schemeClr val="accent6">
                  <a:lumMod val="0"/>
                  <a:lumOff val="100000"/>
                </a:schemeClr>
              </a:gs>
              <a:gs pos="36000">
                <a:schemeClr val="accent6">
                  <a:lumMod val="65000"/>
                  <a:lumOff val="35000"/>
                </a:schemeClr>
              </a:gs>
              <a:gs pos="100000">
                <a:schemeClr val="accent6">
                  <a:lumMod val="100000"/>
                </a:schemeClr>
              </a:gs>
            </a:gsLst>
            <a:path path="circle">
              <a:fillToRect l="50000" t="-80000" r="50000" b="180000"/>
            </a:path>
            <a:tileRect/>
          </a:gradFill>
        </a:ln>
        <a:effectLst>
          <a:outerShdw blurRad="50800" dist="38100" dir="5400000" algn="t" rotWithShape="0">
            <a:srgbClr val="00B05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endParaRPr lang="fr-CM" sz="2400" b="1" i="0" u="none" strike="noStrike">
            <a:solidFill>
              <a:schemeClr val="accent6">
                <a:lumMod val="60000"/>
                <a:lumOff val="4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0</xdr:col>
      <xdr:colOff>461824</xdr:colOff>
      <xdr:row>4</xdr:row>
      <xdr:rowOff>133771</xdr:rowOff>
    </xdr:from>
    <xdr:to>
      <xdr:col>20</xdr:col>
      <xdr:colOff>169590</xdr:colOff>
      <xdr:row>9</xdr:row>
      <xdr:rowOff>115186</xdr:rowOff>
    </xdr:to>
    <mc:AlternateContent xmlns:mc="http://schemas.openxmlformats.org/markup-compatibility/2006">
      <mc:Choice xmlns:a14="http://schemas.microsoft.com/office/drawing/2010/main" Requires="a14">
        <xdr:graphicFrame macro="">
          <xdr:nvGraphicFramePr>
            <xdr:cNvPr id="7" name="Mois">
              <a:extLst>
                <a:ext uri="{FF2B5EF4-FFF2-40B4-BE49-F238E27FC236}">
                  <a16:creationId xmlns:a16="http://schemas.microsoft.com/office/drawing/2014/main" id="{B2E79D17-649A-427E-AD02-C33E304658A1}"/>
                </a:ext>
              </a:extLst>
            </xdr:cNvPr>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dr:sp macro="" textlink="">
          <xdr:nvSpPr>
            <xdr:cNvPr id="0" name=""/>
            <xdr:cNvSpPr>
              <a:spLocks noTextEdit="1"/>
            </xdr:cNvSpPr>
          </xdr:nvSpPr>
          <xdr:spPr>
            <a:xfrm>
              <a:off x="461824" y="883071"/>
              <a:ext cx="17729066" cy="870415"/>
            </a:xfrm>
            <a:prstGeom prst="rect">
              <a:avLst/>
            </a:prstGeom>
            <a:solidFill>
              <a:prstClr val="white"/>
            </a:solidFill>
            <a:ln w="1">
              <a:solidFill>
                <a:prstClr val="green"/>
              </a:solidFill>
            </a:ln>
          </xdr:spPr>
          <xdr:txBody>
            <a:bodyPr vertOverflow="clip" horzOverflow="clip"/>
            <a:lstStyle/>
            <a:p>
              <a:r>
                <a:rPr lang="fr-CM"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213506</xdr:colOff>
      <xdr:row>10</xdr:row>
      <xdr:rowOff>74466</xdr:rowOff>
    </xdr:from>
    <xdr:to>
      <xdr:col>1</xdr:col>
      <xdr:colOff>755946</xdr:colOff>
      <xdr:row>12</xdr:row>
      <xdr:rowOff>12110</xdr:rowOff>
    </xdr:to>
    <xdr:sp macro="" textlink="">
      <xdr:nvSpPr>
        <xdr:cNvPr id="2" name="Rectangle 1">
          <a:extLst>
            <a:ext uri="{FF2B5EF4-FFF2-40B4-BE49-F238E27FC236}">
              <a16:creationId xmlns:a16="http://schemas.microsoft.com/office/drawing/2014/main" id="{5D710308-9E94-455E-5241-89A44BCC09CA}"/>
            </a:ext>
          </a:extLst>
        </xdr:cNvPr>
        <xdr:cNvSpPr/>
      </xdr:nvSpPr>
      <xdr:spPr>
        <a:xfrm>
          <a:off x="689756" y="1503216"/>
          <a:ext cx="542440" cy="2948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300" b="1">
              <a:solidFill>
                <a:sysClr val="windowText" lastClr="000000"/>
              </a:solidFill>
              <a:latin typeface="Times New Roman" panose="02020603050405020304" pitchFamily="18" charset="0"/>
              <a:cs typeface="Times New Roman" panose="02020603050405020304" pitchFamily="18" charset="0"/>
            </a:rPr>
            <a:t>Mois</a:t>
          </a:r>
          <a:r>
            <a:rPr lang="fr-CM" sz="1300">
              <a:latin typeface="Times New Roman" panose="02020603050405020304" pitchFamily="18" charset="0"/>
              <a:cs typeface="Times New Roman" panose="02020603050405020304" pitchFamily="18" charset="0"/>
            </a:rPr>
            <a:t>s</a:t>
          </a:r>
        </a:p>
      </xdr:txBody>
    </xdr:sp>
    <xdr:clientData/>
  </xdr:twoCellAnchor>
  <xdr:twoCellAnchor>
    <xdr:from>
      <xdr:col>3</xdr:col>
      <xdr:colOff>747162</xdr:colOff>
      <xdr:row>9</xdr:row>
      <xdr:rowOff>162912</xdr:rowOff>
    </xdr:from>
    <xdr:to>
      <xdr:col>7</xdr:col>
      <xdr:colOff>866138</xdr:colOff>
      <xdr:row>15</xdr:row>
      <xdr:rowOff>174871</xdr:rowOff>
    </xdr:to>
    <xdr:grpSp>
      <xdr:nvGrpSpPr>
        <xdr:cNvPr id="1036" name="Group 1035">
          <a:extLst>
            <a:ext uri="{FF2B5EF4-FFF2-40B4-BE49-F238E27FC236}">
              <a16:creationId xmlns:a16="http://schemas.microsoft.com/office/drawing/2014/main" id="{C8F91451-823C-B993-EFE5-760DC9BE2767}"/>
            </a:ext>
          </a:extLst>
        </xdr:cNvPr>
        <xdr:cNvGrpSpPr/>
      </xdr:nvGrpSpPr>
      <xdr:grpSpPr>
        <a:xfrm>
          <a:off x="3680862" y="1801212"/>
          <a:ext cx="3535276" cy="1345459"/>
          <a:chOff x="3972962" y="1839312"/>
          <a:chExt cx="3535276" cy="1345459"/>
        </a:xfrm>
        <a:effectLst/>
      </xdr:grpSpPr>
      <xdr:sp macro="" textlink="">
        <xdr:nvSpPr>
          <xdr:cNvPr id="5" name="Rectangle: Top Corners Rounded 4">
            <a:extLst>
              <a:ext uri="{FF2B5EF4-FFF2-40B4-BE49-F238E27FC236}">
                <a16:creationId xmlns:a16="http://schemas.microsoft.com/office/drawing/2014/main" id="{6A627105-1D88-2304-32D1-0938395A01E8}"/>
              </a:ext>
            </a:extLst>
          </xdr:cNvPr>
          <xdr:cNvSpPr/>
        </xdr:nvSpPr>
        <xdr:spPr>
          <a:xfrm rot="5400000">
            <a:off x="5069725" y="746258"/>
            <a:ext cx="1341750" cy="3535276"/>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6" name="Rectangle: Top Corners Rounded 5">
            <a:extLst>
              <a:ext uri="{FF2B5EF4-FFF2-40B4-BE49-F238E27FC236}">
                <a16:creationId xmlns:a16="http://schemas.microsoft.com/office/drawing/2014/main" id="{7457E356-FF1E-4A41-B2B0-DA2C1FCAB78F}"/>
              </a:ext>
            </a:extLst>
          </xdr:cNvPr>
          <xdr:cNvSpPr/>
        </xdr:nvSpPr>
        <xdr:spPr>
          <a:xfrm rot="5400000">
            <a:off x="3375202" y="2452009"/>
            <a:ext cx="1345457" cy="120063"/>
          </a:xfrm>
          <a:prstGeom prst="round2SameRect">
            <a:avLst/>
          </a:prstGeom>
          <a:solidFill>
            <a:schemeClr val="accent6"/>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4" name="Rectangle 3">
            <a:extLst>
              <a:ext uri="{FF2B5EF4-FFF2-40B4-BE49-F238E27FC236}">
                <a16:creationId xmlns:a16="http://schemas.microsoft.com/office/drawing/2014/main" id="{354EA5B6-EBB3-4A7C-8A66-5B2EDF57A91C}"/>
              </a:ext>
            </a:extLst>
          </xdr:cNvPr>
          <xdr:cNvSpPr/>
        </xdr:nvSpPr>
        <xdr:spPr>
          <a:xfrm>
            <a:off x="4216400" y="1897169"/>
            <a:ext cx="1426920" cy="26085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500" b="1">
                <a:solidFill>
                  <a:srgbClr val="AFAFAF"/>
                </a:solidFill>
                <a:latin typeface="Times New Roman" panose="02020603050405020304" pitchFamily="18" charset="0"/>
                <a:cs typeface="Times New Roman" panose="02020603050405020304" pitchFamily="18" charset="0"/>
              </a:rPr>
              <a:t>Revenue</a:t>
            </a:r>
            <a:r>
              <a:rPr lang="fr-CM" sz="1400" b="0" baseline="0">
                <a:solidFill>
                  <a:srgbClr val="AFAFAF"/>
                </a:solidFill>
                <a:latin typeface="Times New Roman" panose="02020603050405020304" pitchFamily="18" charset="0"/>
                <a:cs typeface="Times New Roman" panose="02020603050405020304" pitchFamily="18" charset="0"/>
              </a:rPr>
              <a:t> </a:t>
            </a:r>
            <a:r>
              <a:rPr lang="fr-CM" sz="1400" b="1" baseline="0">
                <a:solidFill>
                  <a:srgbClr val="AFAFAF"/>
                </a:solidFill>
                <a:latin typeface="Times New Roman" panose="02020603050405020304" pitchFamily="18" charset="0"/>
                <a:cs typeface="Times New Roman" panose="02020603050405020304" pitchFamily="18" charset="0"/>
              </a:rPr>
              <a:t>Totals</a:t>
            </a:r>
            <a:endParaRPr lang="fr-CM" sz="1400" b="1">
              <a:solidFill>
                <a:srgbClr val="AFAFAF"/>
              </a:solidFill>
              <a:latin typeface="Times New Roman" panose="02020603050405020304" pitchFamily="18" charset="0"/>
              <a:cs typeface="Times New Roman" panose="02020603050405020304" pitchFamily="18" charset="0"/>
            </a:endParaRPr>
          </a:p>
        </xdr:txBody>
      </xdr:sp>
      <xdr:sp macro="" textlink="$C$52">
        <xdr:nvSpPr>
          <xdr:cNvPr id="26" name="Rectangle 25">
            <a:extLst>
              <a:ext uri="{FF2B5EF4-FFF2-40B4-BE49-F238E27FC236}">
                <a16:creationId xmlns:a16="http://schemas.microsoft.com/office/drawing/2014/main" id="{D191B127-F4B7-4E26-9F90-A52BCB147965}"/>
              </a:ext>
            </a:extLst>
          </xdr:cNvPr>
          <xdr:cNvSpPr/>
        </xdr:nvSpPr>
        <xdr:spPr>
          <a:xfrm>
            <a:off x="4650155" y="2134576"/>
            <a:ext cx="1542561" cy="36537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3A80F44-5A89-4A28-8137-6772107C14B6}"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algn="l"/>
              <a:t> - € </a:t>
            </a:fld>
            <a:endParaRPr lang="fr-CM" sz="2000" b="0">
              <a:solidFill>
                <a:srgbClr val="AFAFAF"/>
              </a:solidFill>
              <a:latin typeface="ADLaM Display" panose="020F0502020204030204" pitchFamily="2" charset="0"/>
              <a:ea typeface="ADLaM Display" panose="020F0502020204030204" pitchFamily="2" charset="0"/>
              <a:cs typeface="ADLaM Display" panose="020F0502020204030204" pitchFamily="2" charset="0"/>
            </a:endParaRPr>
          </a:p>
        </xdr:txBody>
      </xdr:sp>
      <xdr:graphicFrame macro="">
        <xdr:nvGraphicFramePr>
          <xdr:cNvPr id="32" name="Chart 31">
            <a:extLst>
              <a:ext uri="{FF2B5EF4-FFF2-40B4-BE49-F238E27FC236}">
                <a16:creationId xmlns:a16="http://schemas.microsoft.com/office/drawing/2014/main" id="{F06C5DD5-0D75-4A6A-A7F5-0ADE37EE9482}"/>
              </a:ext>
            </a:extLst>
          </xdr:cNvPr>
          <xdr:cNvGraphicFramePr/>
        </xdr:nvGraphicFramePr>
        <xdr:xfrm>
          <a:off x="4160716" y="2453053"/>
          <a:ext cx="2599592" cy="68286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7</xdr:col>
      <xdr:colOff>71315</xdr:colOff>
      <xdr:row>13</xdr:row>
      <xdr:rowOff>16608</xdr:rowOff>
    </xdr:from>
    <xdr:to>
      <xdr:col>7</xdr:col>
      <xdr:colOff>613755</xdr:colOff>
      <xdr:row>14</xdr:row>
      <xdr:rowOff>123076</xdr:rowOff>
    </xdr:to>
    <xdr:sp macro="" textlink="#REF!">
      <xdr:nvSpPr>
        <xdr:cNvPr id="35" name="Rectangle 34">
          <a:extLst>
            <a:ext uri="{FF2B5EF4-FFF2-40B4-BE49-F238E27FC236}">
              <a16:creationId xmlns:a16="http://schemas.microsoft.com/office/drawing/2014/main" id="{7B51B7D8-577F-454D-87FA-816430C12CA7}"/>
            </a:ext>
          </a:extLst>
        </xdr:cNvPr>
        <xdr:cNvSpPr/>
      </xdr:nvSpPr>
      <xdr:spPr>
        <a:xfrm>
          <a:off x="6421315" y="2632808"/>
          <a:ext cx="542440" cy="28426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4D044B2-E3A7-4B63-938F-213DA732D649}" type="TxLink">
            <a:rPr lang="en-US" sz="1400" b="1" i="0" u="none" strike="noStrike">
              <a:solidFill>
                <a:schemeClr val="accent6">
                  <a:lumMod val="60000"/>
                  <a:lumOff val="40000"/>
                </a:schemeClr>
              </a:solidFill>
              <a:latin typeface="Times New Roman" panose="02020603050405020304" pitchFamily="18" charset="0"/>
              <a:ea typeface="ADLaM Display"/>
              <a:cs typeface="Times New Roman" panose="02020603050405020304" pitchFamily="18" charset="0"/>
            </a:rPr>
            <a:pPr algn="l"/>
            <a:t>12%</a:t>
          </a:fld>
          <a:endParaRPr lang="en-US" sz="1100" b="1">
            <a:solidFill>
              <a:schemeClr val="accent6">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1020485</xdr:colOff>
      <xdr:row>9</xdr:row>
      <xdr:rowOff>163152</xdr:rowOff>
    </xdr:from>
    <xdr:to>
      <xdr:col>12</xdr:col>
      <xdr:colOff>685800</xdr:colOff>
      <xdr:row>15</xdr:row>
      <xdr:rowOff>176826</xdr:rowOff>
    </xdr:to>
    <xdr:grpSp>
      <xdr:nvGrpSpPr>
        <xdr:cNvPr id="1037" name="Group 1036">
          <a:extLst>
            <a:ext uri="{FF2B5EF4-FFF2-40B4-BE49-F238E27FC236}">
              <a16:creationId xmlns:a16="http://schemas.microsoft.com/office/drawing/2014/main" id="{B938A668-F5F0-0ADC-A620-9F0D20162C46}"/>
            </a:ext>
          </a:extLst>
        </xdr:cNvPr>
        <xdr:cNvGrpSpPr/>
      </xdr:nvGrpSpPr>
      <xdr:grpSpPr>
        <a:xfrm>
          <a:off x="7370485" y="1801452"/>
          <a:ext cx="4072215" cy="1347174"/>
          <a:chOff x="7700685" y="1814152"/>
          <a:chExt cx="4177555" cy="1347174"/>
        </a:xfrm>
      </xdr:grpSpPr>
      <xdr:sp macro="" textlink="">
        <xdr:nvSpPr>
          <xdr:cNvPr id="10" name="Rectangle: Top Corners Rounded 9">
            <a:extLst>
              <a:ext uri="{FF2B5EF4-FFF2-40B4-BE49-F238E27FC236}">
                <a16:creationId xmlns:a16="http://schemas.microsoft.com/office/drawing/2014/main" id="{43066B0E-E03C-43AC-A353-E209FDC06A6B}"/>
              </a:ext>
            </a:extLst>
          </xdr:cNvPr>
          <xdr:cNvSpPr/>
        </xdr:nvSpPr>
        <xdr:spPr>
          <a:xfrm rot="5400000">
            <a:off x="9118378" y="401462"/>
            <a:ext cx="1342170" cy="4177555"/>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11" name="Rectangle: Top Corners Rounded 10">
            <a:extLst>
              <a:ext uri="{FF2B5EF4-FFF2-40B4-BE49-F238E27FC236}">
                <a16:creationId xmlns:a16="http://schemas.microsoft.com/office/drawing/2014/main" id="{7183B988-C0CB-43C5-8DD7-CB28CB914E84}"/>
              </a:ext>
            </a:extLst>
          </xdr:cNvPr>
          <xdr:cNvSpPr/>
        </xdr:nvSpPr>
        <xdr:spPr>
          <a:xfrm rot="5400000">
            <a:off x="7090825" y="2427342"/>
            <a:ext cx="1347174" cy="120793"/>
          </a:xfrm>
          <a:prstGeom prst="round2SameRect">
            <a:avLst/>
          </a:prstGeom>
          <a:solidFill>
            <a:schemeClr val="accent2"/>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8" name="Rectangle 7">
            <a:extLst>
              <a:ext uri="{FF2B5EF4-FFF2-40B4-BE49-F238E27FC236}">
                <a16:creationId xmlns:a16="http://schemas.microsoft.com/office/drawing/2014/main" id="{E564E8BB-F792-478B-93EC-11EAAD0677A7}"/>
              </a:ext>
            </a:extLst>
          </xdr:cNvPr>
          <xdr:cNvSpPr/>
        </xdr:nvSpPr>
        <xdr:spPr>
          <a:xfrm>
            <a:off x="8020305" y="1873723"/>
            <a:ext cx="1690832" cy="29602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rgbClr val="AFAFAF"/>
                </a:solidFill>
                <a:latin typeface="Times New Roman" panose="02020603050405020304" pitchFamily="18" charset="0"/>
                <a:ea typeface="+mn-ea"/>
                <a:cs typeface="Times New Roman" panose="02020603050405020304" pitchFamily="18" charset="0"/>
              </a:rPr>
              <a:t>Dépenses </a:t>
            </a:r>
            <a:r>
              <a:rPr lang="fr-CM" sz="1500" b="1">
                <a:solidFill>
                  <a:srgbClr val="AFAFAF"/>
                </a:solidFill>
                <a:latin typeface="Times New Roman" panose="02020603050405020304" pitchFamily="18" charset="0"/>
                <a:ea typeface="+mn-ea"/>
                <a:cs typeface="Times New Roman" panose="02020603050405020304" pitchFamily="18" charset="0"/>
              </a:rPr>
              <a:t>Variables</a:t>
            </a:r>
          </a:p>
        </xdr:txBody>
      </xdr:sp>
      <xdr:sp macro="" textlink="$G$52">
        <xdr:nvSpPr>
          <xdr:cNvPr id="28" name="Rectangle 27">
            <a:extLst>
              <a:ext uri="{FF2B5EF4-FFF2-40B4-BE49-F238E27FC236}">
                <a16:creationId xmlns:a16="http://schemas.microsoft.com/office/drawing/2014/main" id="{75C229CA-3B58-4CA7-9E95-C3E2D16B3FB6}"/>
              </a:ext>
            </a:extLst>
          </xdr:cNvPr>
          <xdr:cNvSpPr/>
        </xdr:nvSpPr>
        <xdr:spPr>
          <a:xfrm>
            <a:off x="8508348" y="2097382"/>
            <a:ext cx="1617785" cy="3084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A5F43C2-0CE9-4E31-94D2-1EC5A06EB427}"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marL="0" indent="0" algn="l"/>
              <a:t> 500,00 € </a:t>
            </a:fld>
            <a:endParaRPr lang="fr-CM"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endParaRPr>
          </a:p>
        </xdr:txBody>
      </xdr:sp>
      <xdr:graphicFrame macro="">
        <xdr:nvGraphicFramePr>
          <xdr:cNvPr id="17" name="Chart 16">
            <a:extLst>
              <a:ext uri="{FF2B5EF4-FFF2-40B4-BE49-F238E27FC236}">
                <a16:creationId xmlns:a16="http://schemas.microsoft.com/office/drawing/2014/main" id="{96DDA69A-4983-47B1-9341-E8F27D37AD88}"/>
              </a:ext>
            </a:extLst>
          </xdr:cNvPr>
          <xdr:cNvGraphicFramePr>
            <a:graphicFrameLocks/>
          </xdr:cNvGraphicFramePr>
        </xdr:nvGraphicFramePr>
        <xdr:xfrm>
          <a:off x="7871177" y="2515070"/>
          <a:ext cx="2951753" cy="5508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11</xdr:col>
      <xdr:colOff>830110</xdr:colOff>
      <xdr:row>13</xdr:row>
      <xdr:rowOff>29446</xdr:rowOff>
    </xdr:from>
    <xdr:to>
      <xdr:col>12</xdr:col>
      <xdr:colOff>500380</xdr:colOff>
      <xdr:row>14</xdr:row>
      <xdr:rowOff>140994</xdr:rowOff>
    </xdr:to>
    <xdr:sp macro="" textlink="#REF!">
      <xdr:nvSpPr>
        <xdr:cNvPr id="21" name="Rectangle 20">
          <a:extLst>
            <a:ext uri="{FF2B5EF4-FFF2-40B4-BE49-F238E27FC236}">
              <a16:creationId xmlns:a16="http://schemas.microsoft.com/office/drawing/2014/main" id="{911FE80F-0289-4441-9299-7FC033E5EFD7}"/>
            </a:ext>
          </a:extLst>
        </xdr:cNvPr>
        <xdr:cNvSpPr/>
      </xdr:nvSpPr>
      <xdr:spPr>
        <a:xfrm>
          <a:off x="10609110" y="2645646"/>
          <a:ext cx="648170" cy="28934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D4B9AE9-1C7E-4844-925D-6092B68641EA}" type="TxLink">
            <a:rPr lang="en-US" sz="1200" b="1" i="0" u="none" strike="noStrike">
              <a:solidFill>
                <a:srgbClr val="EF9867"/>
              </a:solidFill>
              <a:latin typeface="Times New Roman"/>
              <a:ea typeface="ADLaM Display"/>
              <a:cs typeface="Times New Roman"/>
            </a:rPr>
            <a:pPr algn="l"/>
            <a:t>24%</a:t>
          </a:fld>
          <a:endParaRPr lang="fr-CM" sz="1200">
            <a:solidFill>
              <a:srgbClr val="EF9867"/>
            </a:solidFill>
          </a:endParaRPr>
        </a:p>
      </xdr:txBody>
    </xdr:sp>
    <xdr:clientData/>
  </xdr:twoCellAnchor>
  <xdr:twoCellAnchor>
    <xdr:from>
      <xdr:col>17</xdr:col>
      <xdr:colOff>368978</xdr:colOff>
      <xdr:row>10</xdr:row>
      <xdr:rowOff>26814</xdr:rowOff>
    </xdr:from>
    <xdr:to>
      <xdr:col>21</xdr:col>
      <xdr:colOff>166598</xdr:colOff>
      <xdr:row>15</xdr:row>
      <xdr:rowOff>176828</xdr:rowOff>
    </xdr:to>
    <xdr:grpSp>
      <xdr:nvGrpSpPr>
        <xdr:cNvPr id="1039" name="Group 1038">
          <a:extLst>
            <a:ext uri="{FF2B5EF4-FFF2-40B4-BE49-F238E27FC236}">
              <a16:creationId xmlns:a16="http://schemas.microsoft.com/office/drawing/2014/main" id="{78153A94-11BB-296F-BB96-BC674A1DCC27}"/>
            </a:ext>
          </a:extLst>
        </xdr:cNvPr>
        <xdr:cNvGrpSpPr/>
      </xdr:nvGrpSpPr>
      <xdr:grpSpPr>
        <a:xfrm>
          <a:off x="15278778" y="1842914"/>
          <a:ext cx="3848920" cy="1305714"/>
          <a:chOff x="15888378" y="1830214"/>
          <a:chExt cx="3848920" cy="1305714"/>
        </a:xfrm>
      </xdr:grpSpPr>
      <xdr:sp macro="" textlink="">
        <xdr:nvSpPr>
          <xdr:cNvPr id="14" name="Rectangle: Top Corners Rounded 13">
            <a:extLst>
              <a:ext uri="{FF2B5EF4-FFF2-40B4-BE49-F238E27FC236}">
                <a16:creationId xmlns:a16="http://schemas.microsoft.com/office/drawing/2014/main" id="{0858C116-EC2B-49C4-BFC8-329DA90F8FDF}"/>
              </a:ext>
            </a:extLst>
          </xdr:cNvPr>
          <xdr:cNvSpPr/>
        </xdr:nvSpPr>
        <xdr:spPr>
          <a:xfrm rot="5400000">
            <a:off x="17166627" y="553530"/>
            <a:ext cx="1293988" cy="3847355"/>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15" name="Rectangle: Top Corners Rounded 14">
            <a:extLst>
              <a:ext uri="{FF2B5EF4-FFF2-40B4-BE49-F238E27FC236}">
                <a16:creationId xmlns:a16="http://schemas.microsoft.com/office/drawing/2014/main" id="{0126BECB-5588-4123-BC98-EED5082A089C}"/>
              </a:ext>
            </a:extLst>
          </xdr:cNvPr>
          <xdr:cNvSpPr/>
        </xdr:nvSpPr>
        <xdr:spPr>
          <a:xfrm rot="5400000">
            <a:off x="15298682" y="2419911"/>
            <a:ext cx="1305713" cy="126321"/>
          </a:xfrm>
          <a:prstGeom prst="round2SameRect">
            <a:avLst/>
          </a:prstGeom>
          <a:solidFill>
            <a:srgbClr val="FF0000"/>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20" name="Rectangle 19">
            <a:extLst>
              <a:ext uri="{FF2B5EF4-FFF2-40B4-BE49-F238E27FC236}">
                <a16:creationId xmlns:a16="http://schemas.microsoft.com/office/drawing/2014/main" id="{CFBABF27-5959-4A07-BEA9-DBDC3554EF86}"/>
              </a:ext>
            </a:extLst>
          </xdr:cNvPr>
          <xdr:cNvSpPr/>
        </xdr:nvSpPr>
        <xdr:spPr>
          <a:xfrm>
            <a:off x="16074908" y="1858434"/>
            <a:ext cx="1420923" cy="2483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500" b="1">
                <a:solidFill>
                  <a:srgbClr val="AFAFAF"/>
                </a:solidFill>
                <a:latin typeface="Times New Roman" panose="02020603050405020304" pitchFamily="18" charset="0"/>
                <a:ea typeface="+mn-ea"/>
                <a:cs typeface="Times New Roman" panose="02020603050405020304" pitchFamily="18" charset="0"/>
              </a:rPr>
              <a:t>Epargne</a:t>
            </a:r>
          </a:p>
        </xdr:txBody>
      </xdr:sp>
      <xdr:sp macro="" textlink="$S$52">
        <xdr:nvSpPr>
          <xdr:cNvPr id="29" name="Rectangle 28">
            <a:extLst>
              <a:ext uri="{FF2B5EF4-FFF2-40B4-BE49-F238E27FC236}">
                <a16:creationId xmlns:a16="http://schemas.microsoft.com/office/drawing/2014/main" id="{9BCF6322-B512-43D8-B665-5DB7FD9248E7}"/>
              </a:ext>
            </a:extLst>
          </xdr:cNvPr>
          <xdr:cNvSpPr/>
        </xdr:nvSpPr>
        <xdr:spPr>
          <a:xfrm>
            <a:off x="16728143" y="2087974"/>
            <a:ext cx="1457787" cy="34713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50B8E07-87D3-4B58-956B-83E9AC16448A}"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marL="0" indent="0" algn="l"/>
              <a:t> - € </a:t>
            </a:fld>
            <a:endParaRPr lang="fr-CM"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endParaRPr>
          </a:p>
        </xdr:txBody>
      </xdr:sp>
      <xdr:graphicFrame macro="">
        <xdr:nvGraphicFramePr>
          <xdr:cNvPr id="37" name="Chart 36">
            <a:extLst>
              <a:ext uri="{FF2B5EF4-FFF2-40B4-BE49-F238E27FC236}">
                <a16:creationId xmlns:a16="http://schemas.microsoft.com/office/drawing/2014/main" id="{29945900-130C-4F54-A8E9-8C4D78623013}"/>
              </a:ext>
            </a:extLst>
          </xdr:cNvPr>
          <xdr:cNvGraphicFramePr>
            <a:graphicFrameLocks/>
          </xdr:cNvGraphicFramePr>
        </xdr:nvGraphicFramePr>
        <xdr:xfrm>
          <a:off x="16057503" y="2416292"/>
          <a:ext cx="2925089" cy="682869"/>
        </xdr:xfrm>
        <a:graphic>
          <a:graphicData uri="http://schemas.openxmlformats.org/drawingml/2006/chart">
            <c:chart xmlns:c="http://schemas.openxmlformats.org/drawingml/2006/chart" xmlns:r="http://schemas.openxmlformats.org/officeDocument/2006/relationships" r:id="rId4"/>
          </a:graphicData>
        </a:graphic>
      </xdr:graphicFrame>
      <xdr:sp macro="" textlink="#REF!">
        <xdr:nvSpPr>
          <xdr:cNvPr id="38" name="Rectangle 37">
            <a:extLst>
              <a:ext uri="{FF2B5EF4-FFF2-40B4-BE49-F238E27FC236}">
                <a16:creationId xmlns:a16="http://schemas.microsoft.com/office/drawing/2014/main" id="{CE20823E-2938-4CBD-B6B1-1F7CFD512C7D}"/>
              </a:ext>
            </a:extLst>
          </xdr:cNvPr>
          <xdr:cNvSpPr/>
        </xdr:nvSpPr>
        <xdr:spPr>
          <a:xfrm>
            <a:off x="19092803" y="2686757"/>
            <a:ext cx="540559" cy="28991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BE0D65E-8059-4C45-8940-50D1B865BA3A}" type="TxLink">
              <a:rPr lang="en-US" sz="1100" b="1" i="0" u="none" strike="noStrike">
                <a:solidFill>
                  <a:srgbClr val="FF3333"/>
                </a:solidFill>
                <a:latin typeface="Times New Roman"/>
                <a:ea typeface="ADLaM Display"/>
                <a:cs typeface="Times New Roman"/>
              </a:rPr>
              <a:pPr algn="l"/>
              <a:t>47%</a:t>
            </a:fld>
            <a:endParaRPr lang="fr-CM" sz="1100">
              <a:solidFill>
                <a:srgbClr val="FF3333"/>
              </a:solidFill>
            </a:endParaRPr>
          </a:p>
        </xdr:txBody>
      </xdr:sp>
    </xdr:grpSp>
    <xdr:clientData/>
  </xdr:twoCellAnchor>
  <xdr:twoCellAnchor>
    <xdr:from>
      <xdr:col>12</xdr:col>
      <xdr:colOff>808890</xdr:colOff>
      <xdr:row>9</xdr:row>
      <xdr:rowOff>174864</xdr:rowOff>
    </xdr:from>
    <xdr:to>
      <xdr:col>17</xdr:col>
      <xdr:colOff>186769</xdr:colOff>
      <xdr:row>15</xdr:row>
      <xdr:rowOff>156686</xdr:rowOff>
    </xdr:to>
    <xdr:grpSp>
      <xdr:nvGrpSpPr>
        <xdr:cNvPr id="1038" name="Group 1037">
          <a:extLst>
            <a:ext uri="{FF2B5EF4-FFF2-40B4-BE49-F238E27FC236}">
              <a16:creationId xmlns:a16="http://schemas.microsoft.com/office/drawing/2014/main" id="{670B91DE-3ABD-BB80-FAD1-0D8B6F658466}"/>
            </a:ext>
          </a:extLst>
        </xdr:cNvPr>
        <xdr:cNvGrpSpPr/>
      </xdr:nvGrpSpPr>
      <xdr:grpSpPr>
        <a:xfrm>
          <a:off x="11565790" y="1813164"/>
          <a:ext cx="3530779" cy="1315322"/>
          <a:chOff x="12111890" y="1825864"/>
          <a:chExt cx="3530779" cy="1315322"/>
        </a:xfrm>
      </xdr:grpSpPr>
      <xdr:sp macro="" textlink="">
        <xdr:nvSpPr>
          <xdr:cNvPr id="12" name="Rectangle: Top Corners Rounded 11">
            <a:extLst>
              <a:ext uri="{FF2B5EF4-FFF2-40B4-BE49-F238E27FC236}">
                <a16:creationId xmlns:a16="http://schemas.microsoft.com/office/drawing/2014/main" id="{FB88EFAC-DD28-43D6-BB91-45A368B7052C}"/>
              </a:ext>
            </a:extLst>
          </xdr:cNvPr>
          <xdr:cNvSpPr/>
        </xdr:nvSpPr>
        <xdr:spPr>
          <a:xfrm rot="5400000">
            <a:off x="13227411" y="725927"/>
            <a:ext cx="1313362" cy="3517155"/>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13" name="Rectangle: Top Corners Rounded 12">
            <a:extLst>
              <a:ext uri="{FF2B5EF4-FFF2-40B4-BE49-F238E27FC236}">
                <a16:creationId xmlns:a16="http://schemas.microsoft.com/office/drawing/2014/main" id="{3F22D65F-C8B5-49BC-ABE5-BB005EEF1CF8}"/>
              </a:ext>
            </a:extLst>
          </xdr:cNvPr>
          <xdr:cNvSpPr/>
        </xdr:nvSpPr>
        <xdr:spPr>
          <a:xfrm rot="5400000">
            <a:off x="11522313" y="2415441"/>
            <a:ext cx="1310063" cy="130909"/>
          </a:xfrm>
          <a:prstGeom prst="round2SameRect">
            <a:avLst/>
          </a:prstGeom>
          <a:solidFill>
            <a:srgbClr val="FFC000"/>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9" name="Rectangle 8">
            <a:extLst>
              <a:ext uri="{FF2B5EF4-FFF2-40B4-BE49-F238E27FC236}">
                <a16:creationId xmlns:a16="http://schemas.microsoft.com/office/drawing/2014/main" id="{AF394E5F-A59A-430E-9F10-A4204CF8F886}"/>
              </a:ext>
            </a:extLst>
          </xdr:cNvPr>
          <xdr:cNvSpPr/>
        </xdr:nvSpPr>
        <xdr:spPr>
          <a:xfrm>
            <a:off x="12297109" y="1857224"/>
            <a:ext cx="1459403" cy="29660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500" b="1">
                <a:solidFill>
                  <a:srgbClr val="AFAFAF"/>
                </a:solidFill>
                <a:latin typeface="Times New Roman" panose="02020603050405020304" pitchFamily="18" charset="0"/>
                <a:ea typeface="+mn-ea"/>
                <a:cs typeface="Times New Roman" panose="02020603050405020304" pitchFamily="18" charset="0"/>
              </a:rPr>
              <a:t>Dépenses</a:t>
            </a:r>
            <a:r>
              <a:rPr lang="fr-CM" sz="1400" b="1">
                <a:solidFill>
                  <a:srgbClr val="AFAFAF"/>
                </a:solidFill>
                <a:latin typeface="Times New Roman" panose="02020603050405020304" pitchFamily="18" charset="0"/>
                <a:ea typeface="+mn-ea"/>
                <a:cs typeface="Times New Roman" panose="02020603050405020304" pitchFamily="18" charset="0"/>
              </a:rPr>
              <a:t> Fixes</a:t>
            </a:r>
          </a:p>
        </xdr:txBody>
      </xdr:sp>
      <xdr:sp macro="" textlink="#REF!">
        <xdr:nvSpPr>
          <xdr:cNvPr id="30" name="Rectangle 29">
            <a:extLst>
              <a:ext uri="{FF2B5EF4-FFF2-40B4-BE49-F238E27FC236}">
                <a16:creationId xmlns:a16="http://schemas.microsoft.com/office/drawing/2014/main" id="{BBD35FB3-F433-4413-B29F-75F0F7D8AE27}"/>
              </a:ext>
            </a:extLst>
          </xdr:cNvPr>
          <xdr:cNvSpPr/>
        </xdr:nvSpPr>
        <xdr:spPr>
          <a:xfrm>
            <a:off x="12885796" y="2092678"/>
            <a:ext cx="1608196" cy="38946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34EA589-1C56-45F0-966D-A2C2E63F26BB}"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marL="0" indent="0" algn="l"/>
              <a:t> 600,00 € </a:t>
            </a:fld>
            <a:endPar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endParaRPr>
          </a:p>
        </xdr:txBody>
      </xdr:sp>
      <xdr:sp macro="" textlink="#REF!">
        <xdr:nvSpPr>
          <xdr:cNvPr id="34" name="Rectangle 33">
            <a:extLst>
              <a:ext uri="{FF2B5EF4-FFF2-40B4-BE49-F238E27FC236}">
                <a16:creationId xmlns:a16="http://schemas.microsoft.com/office/drawing/2014/main" id="{5B3FF36D-574B-477E-B2EF-F697077B6914}"/>
              </a:ext>
            </a:extLst>
          </xdr:cNvPr>
          <xdr:cNvSpPr/>
        </xdr:nvSpPr>
        <xdr:spPr>
          <a:xfrm>
            <a:off x="14989763" y="2682052"/>
            <a:ext cx="542440" cy="28991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B6D71C4-7ECA-422F-9643-392CA631BC24}" type="TxLink">
              <a:rPr lang="en-US" sz="1100" b="0" i="0" u="none" strike="noStrike">
                <a:solidFill>
                  <a:srgbClr val="FFCC00"/>
                </a:solidFill>
                <a:latin typeface="Aptos Narrow"/>
                <a:ea typeface="ADLaM Display"/>
                <a:cs typeface="Times New Roman"/>
              </a:rPr>
              <a:pPr algn="l"/>
              <a:t>15%</a:t>
            </a:fld>
            <a:endParaRPr lang="fr-CM" sz="1100">
              <a:solidFill>
                <a:srgbClr val="FFCC00"/>
              </a:solidFill>
            </a:endParaRPr>
          </a:p>
        </xdr:txBody>
      </xdr:sp>
      <xdr:graphicFrame macro="">
        <xdr:nvGraphicFramePr>
          <xdr:cNvPr id="41" name="Chart 40">
            <a:extLst>
              <a:ext uri="{FF2B5EF4-FFF2-40B4-BE49-F238E27FC236}">
                <a16:creationId xmlns:a16="http://schemas.microsoft.com/office/drawing/2014/main" id="{50F25619-4AE0-4DFD-A375-F3E9954FF5C4}"/>
              </a:ext>
            </a:extLst>
          </xdr:cNvPr>
          <xdr:cNvGraphicFramePr>
            <a:graphicFrameLocks/>
          </xdr:cNvGraphicFramePr>
        </xdr:nvGraphicFramePr>
        <xdr:xfrm>
          <a:off x="12275726" y="2439811"/>
          <a:ext cx="2596770" cy="68286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21</xdr:col>
      <xdr:colOff>381895</xdr:colOff>
      <xdr:row>10</xdr:row>
      <xdr:rowOff>48832</xdr:rowOff>
    </xdr:from>
    <xdr:to>
      <xdr:col>27</xdr:col>
      <xdr:colOff>254150</xdr:colOff>
      <xdr:row>15</xdr:row>
      <xdr:rowOff>128953</xdr:rowOff>
    </xdr:to>
    <xdr:grpSp>
      <xdr:nvGrpSpPr>
        <xdr:cNvPr id="1040" name="Group 1039">
          <a:extLst>
            <a:ext uri="{FF2B5EF4-FFF2-40B4-BE49-F238E27FC236}">
              <a16:creationId xmlns:a16="http://schemas.microsoft.com/office/drawing/2014/main" id="{97C1113D-D5D2-C00A-5163-08CA67F2BD28}"/>
            </a:ext>
          </a:extLst>
        </xdr:cNvPr>
        <xdr:cNvGrpSpPr/>
      </xdr:nvGrpSpPr>
      <xdr:grpSpPr>
        <a:xfrm>
          <a:off x="19342995" y="1864932"/>
          <a:ext cx="3529855" cy="1235821"/>
          <a:chOff x="20168495" y="1864932"/>
          <a:chExt cx="3529855" cy="1235821"/>
        </a:xfrm>
      </xdr:grpSpPr>
      <xdr:sp macro="" textlink="">
        <xdr:nvSpPr>
          <xdr:cNvPr id="18" name="Rectangle: Top Corners Rounded 17">
            <a:extLst>
              <a:ext uri="{FF2B5EF4-FFF2-40B4-BE49-F238E27FC236}">
                <a16:creationId xmlns:a16="http://schemas.microsoft.com/office/drawing/2014/main" id="{AC3142B1-9964-490A-A2CB-60BA58BB7C73}"/>
              </a:ext>
            </a:extLst>
          </xdr:cNvPr>
          <xdr:cNvSpPr/>
        </xdr:nvSpPr>
        <xdr:spPr>
          <a:xfrm rot="5400000">
            <a:off x="21315512" y="717915"/>
            <a:ext cx="1235821" cy="3529855"/>
          </a:xfrm>
          <a:prstGeom prst="round2Same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solidFill>
                <a:schemeClr val="bg1"/>
              </a:solidFill>
            </a:endParaRPr>
          </a:p>
        </xdr:txBody>
      </xdr:sp>
      <xdr:sp macro="" textlink="">
        <xdr:nvSpPr>
          <xdr:cNvPr id="19" name="Rectangle: Top Corners Rounded 18">
            <a:extLst>
              <a:ext uri="{FF2B5EF4-FFF2-40B4-BE49-F238E27FC236}">
                <a16:creationId xmlns:a16="http://schemas.microsoft.com/office/drawing/2014/main" id="{2E0EA877-2DF1-4103-9197-6A58ABA299F1}"/>
              </a:ext>
            </a:extLst>
          </xdr:cNvPr>
          <xdr:cNvSpPr/>
        </xdr:nvSpPr>
        <xdr:spPr>
          <a:xfrm rot="5400000">
            <a:off x="19624512" y="2416015"/>
            <a:ext cx="1224096" cy="121940"/>
          </a:xfrm>
          <a:prstGeom prst="round2Same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23" name="Rectangle 22">
            <a:extLst>
              <a:ext uri="{FF2B5EF4-FFF2-40B4-BE49-F238E27FC236}">
                <a16:creationId xmlns:a16="http://schemas.microsoft.com/office/drawing/2014/main" id="{BA6F1BCF-0020-4156-93C7-EB7349969830}"/>
              </a:ext>
            </a:extLst>
          </xdr:cNvPr>
          <xdr:cNvSpPr/>
        </xdr:nvSpPr>
        <xdr:spPr>
          <a:xfrm>
            <a:off x="20290407" y="1908771"/>
            <a:ext cx="1296692" cy="3539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500" b="1">
                <a:solidFill>
                  <a:srgbClr val="E6E9EE"/>
                </a:solidFill>
                <a:latin typeface="Times New Roman" panose="02020603050405020304" pitchFamily="18" charset="0"/>
                <a:cs typeface="Times New Roman" panose="02020603050405020304" pitchFamily="18" charset="0"/>
              </a:rPr>
              <a:t>Solde</a:t>
            </a:r>
            <a:r>
              <a:rPr lang="fr-CM" sz="1400" b="1" baseline="0">
                <a:solidFill>
                  <a:srgbClr val="E6E9EE"/>
                </a:solidFill>
                <a:latin typeface="Times New Roman" panose="02020603050405020304" pitchFamily="18" charset="0"/>
                <a:cs typeface="Times New Roman" panose="02020603050405020304" pitchFamily="18" charset="0"/>
              </a:rPr>
              <a:t> </a:t>
            </a:r>
            <a:r>
              <a:rPr lang="fr-CM" sz="1500" b="1" baseline="0">
                <a:solidFill>
                  <a:srgbClr val="E6E9EE"/>
                </a:solidFill>
                <a:latin typeface="Times New Roman" panose="02020603050405020304" pitchFamily="18" charset="0"/>
                <a:cs typeface="Times New Roman" panose="02020603050405020304" pitchFamily="18" charset="0"/>
              </a:rPr>
              <a:t>Net</a:t>
            </a:r>
            <a:endParaRPr lang="fr-CM" sz="1500">
              <a:solidFill>
                <a:srgbClr val="E6E9EE"/>
              </a:solidFill>
            </a:endParaRPr>
          </a:p>
        </xdr:txBody>
      </xdr:sp>
      <xdr:sp macro="" textlink="#REF!">
        <xdr:nvSpPr>
          <xdr:cNvPr id="31" name="Rectangle 30">
            <a:extLst>
              <a:ext uri="{FF2B5EF4-FFF2-40B4-BE49-F238E27FC236}">
                <a16:creationId xmlns:a16="http://schemas.microsoft.com/office/drawing/2014/main" id="{2D34BB83-6008-495B-A3E8-BFC08814A956}"/>
              </a:ext>
            </a:extLst>
          </xdr:cNvPr>
          <xdr:cNvSpPr/>
        </xdr:nvSpPr>
        <xdr:spPr>
          <a:xfrm>
            <a:off x="20490798" y="2176142"/>
            <a:ext cx="1992923" cy="540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9D5713E2-C552-4A99-A996-04671D42FEE9}" type="TxLink">
              <a:rPr lang="en-US" sz="2400" b="0" i="0" u="none" strike="noStrike">
                <a:solidFill>
                  <a:srgbClr val="E6E9EE"/>
                </a:solidFill>
                <a:latin typeface="ADLaM Display" panose="020F0502020204030204" pitchFamily="2" charset="0"/>
                <a:ea typeface="ADLaM Display" panose="020F0502020204030204" pitchFamily="2" charset="0"/>
                <a:cs typeface="ADLaM Display" panose="020F0502020204030204" pitchFamily="2" charset="0"/>
              </a:rPr>
              <a:pPr marL="0" indent="0" algn="l"/>
              <a:t>-1 150,00 € </a:t>
            </a:fld>
            <a:endParaRPr lang="en-US" sz="2400" b="0" i="0" u="none" strike="noStrike">
              <a:solidFill>
                <a:srgbClr val="E6E9EE"/>
              </a:solidFill>
              <a:latin typeface="ADLaM Display" panose="020F0502020204030204" pitchFamily="2" charset="0"/>
              <a:ea typeface="ADLaM Display" panose="020F0502020204030204" pitchFamily="2" charset="0"/>
              <a:cs typeface="ADLaM Display" panose="020F0502020204030204" pitchFamily="2" charset="0"/>
            </a:endParaRPr>
          </a:p>
        </xdr:txBody>
      </xdr:sp>
      <xdr:sp macro="" textlink="">
        <xdr:nvSpPr>
          <xdr:cNvPr id="43" name="Rectangle 42">
            <a:extLst>
              <a:ext uri="{FF2B5EF4-FFF2-40B4-BE49-F238E27FC236}">
                <a16:creationId xmlns:a16="http://schemas.microsoft.com/office/drawing/2014/main" id="{866C0850-6CD1-4080-9B2E-58ECE51E15A5}"/>
              </a:ext>
            </a:extLst>
          </xdr:cNvPr>
          <xdr:cNvSpPr/>
        </xdr:nvSpPr>
        <xdr:spPr>
          <a:xfrm>
            <a:off x="21036002" y="2676755"/>
            <a:ext cx="2192297" cy="28136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400" b="1">
                <a:solidFill>
                  <a:srgbClr val="E6E9EE"/>
                </a:solidFill>
                <a:latin typeface="Times New Roman" panose="02020603050405020304" pitchFamily="18" charset="0"/>
                <a:cs typeface="Times New Roman" panose="02020603050405020304" pitchFamily="18" charset="0"/>
              </a:rPr>
              <a:t>****</a:t>
            </a:r>
            <a:r>
              <a:rPr lang="fr-CM" sz="1400" b="1" baseline="0">
                <a:solidFill>
                  <a:srgbClr val="E6E9EE"/>
                </a:solidFill>
                <a:latin typeface="Times New Roman" panose="02020603050405020304" pitchFamily="18" charset="0"/>
                <a:cs typeface="Times New Roman" panose="02020603050405020304" pitchFamily="18" charset="0"/>
              </a:rPr>
              <a:t> **** **** 1654</a:t>
            </a:r>
            <a:endParaRPr lang="fr-CM" sz="1400">
              <a:solidFill>
                <a:srgbClr val="E6E9EE"/>
              </a:solidFill>
            </a:endParaRPr>
          </a:p>
        </xdr:txBody>
      </xdr:sp>
      <xdr:sp macro="" textlink="">
        <xdr:nvSpPr>
          <xdr:cNvPr id="44" name="Rectangle 43">
            <a:extLst>
              <a:ext uri="{FF2B5EF4-FFF2-40B4-BE49-F238E27FC236}">
                <a16:creationId xmlns:a16="http://schemas.microsoft.com/office/drawing/2014/main" id="{6C69478B-26F5-455E-B69A-6D7C3A09732F}"/>
              </a:ext>
            </a:extLst>
          </xdr:cNvPr>
          <xdr:cNvSpPr/>
        </xdr:nvSpPr>
        <xdr:spPr>
          <a:xfrm>
            <a:off x="22817911" y="2653308"/>
            <a:ext cx="832420" cy="3184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400" b="1" baseline="0">
                <a:solidFill>
                  <a:srgbClr val="E6E9EE"/>
                </a:solidFill>
                <a:latin typeface="Times New Roman" panose="02020603050405020304" pitchFamily="18" charset="0"/>
                <a:cs typeface="Times New Roman" panose="02020603050405020304" pitchFamily="18" charset="0"/>
              </a:rPr>
              <a:t> 10/28</a:t>
            </a:r>
            <a:endParaRPr lang="fr-CM" sz="1400">
              <a:solidFill>
                <a:srgbClr val="E6E9EE"/>
              </a:solidFill>
            </a:endParaRPr>
          </a:p>
        </xdr:txBody>
      </xdr:sp>
    </xdr:grpSp>
    <xdr:clientData/>
  </xdr:twoCellAnchor>
  <xdr:twoCellAnchor>
    <xdr:from>
      <xdr:col>0</xdr:col>
      <xdr:colOff>452436</xdr:colOff>
      <xdr:row>19</xdr:row>
      <xdr:rowOff>11907</xdr:rowOff>
    </xdr:from>
    <xdr:to>
      <xdr:col>3</xdr:col>
      <xdr:colOff>857249</xdr:colOff>
      <xdr:row>35</xdr:row>
      <xdr:rowOff>83344</xdr:rowOff>
    </xdr:to>
    <xdr:sp macro="" textlink="">
      <xdr:nvSpPr>
        <xdr:cNvPr id="16" name="Rectangle: Rounded Corners 15">
          <a:extLst>
            <a:ext uri="{FF2B5EF4-FFF2-40B4-BE49-F238E27FC236}">
              <a16:creationId xmlns:a16="http://schemas.microsoft.com/office/drawing/2014/main" id="{C0DB0D47-1873-BE10-6FB4-BC56B3A44484}"/>
            </a:ext>
          </a:extLst>
        </xdr:cNvPr>
        <xdr:cNvSpPr/>
      </xdr:nvSpPr>
      <xdr:spPr>
        <a:xfrm>
          <a:off x="452436" y="3214688"/>
          <a:ext cx="3345657" cy="2928937"/>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5</xdr:col>
      <xdr:colOff>125730</xdr:colOff>
      <xdr:row>18</xdr:row>
      <xdr:rowOff>181928</xdr:rowOff>
    </xdr:from>
    <xdr:to>
      <xdr:col>9</xdr:col>
      <xdr:colOff>744855</xdr:colOff>
      <xdr:row>35</xdr:row>
      <xdr:rowOff>74772</xdr:rowOff>
    </xdr:to>
    <xdr:sp macro="" textlink="">
      <xdr:nvSpPr>
        <xdr:cNvPr id="22" name="Rectangle: Rounded Corners 21">
          <a:extLst>
            <a:ext uri="{FF2B5EF4-FFF2-40B4-BE49-F238E27FC236}">
              <a16:creationId xmlns:a16="http://schemas.microsoft.com/office/drawing/2014/main" id="{4D216DFF-C8B9-48CD-AF3B-62B3B7855491}"/>
            </a:ext>
          </a:extLst>
        </xdr:cNvPr>
        <xdr:cNvSpPr/>
      </xdr:nvSpPr>
      <xdr:spPr>
        <a:xfrm>
          <a:off x="4339590" y="3275648"/>
          <a:ext cx="4048125" cy="3001804"/>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10</xdr:col>
      <xdr:colOff>316366</xdr:colOff>
      <xdr:row>18</xdr:row>
      <xdr:rowOff>168349</xdr:rowOff>
    </xdr:from>
    <xdr:to>
      <xdr:col>15</xdr:col>
      <xdr:colOff>792616</xdr:colOff>
      <xdr:row>35</xdr:row>
      <xdr:rowOff>154781</xdr:rowOff>
    </xdr:to>
    <xdr:sp macro="" textlink="">
      <xdr:nvSpPr>
        <xdr:cNvPr id="27" name="Rectangle: Rounded Corners 26">
          <a:extLst>
            <a:ext uri="{FF2B5EF4-FFF2-40B4-BE49-F238E27FC236}">
              <a16:creationId xmlns:a16="http://schemas.microsoft.com/office/drawing/2014/main" id="{185AE42D-224E-4308-8E38-8B4FBDD849DC}"/>
            </a:ext>
          </a:extLst>
        </xdr:cNvPr>
        <xdr:cNvSpPr/>
      </xdr:nvSpPr>
      <xdr:spPr>
        <a:xfrm>
          <a:off x="9123668" y="3402419"/>
          <a:ext cx="4773576" cy="3149618"/>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17</xdr:col>
      <xdr:colOff>333375</xdr:colOff>
      <xdr:row>18</xdr:row>
      <xdr:rowOff>142874</xdr:rowOff>
    </xdr:from>
    <xdr:to>
      <xdr:col>22</xdr:col>
      <xdr:colOff>71438</xdr:colOff>
      <xdr:row>35</xdr:row>
      <xdr:rowOff>107156</xdr:rowOff>
    </xdr:to>
    <xdr:sp macro="" textlink="">
      <xdr:nvSpPr>
        <xdr:cNvPr id="33" name="Rectangle: Rounded Corners 32">
          <a:extLst>
            <a:ext uri="{FF2B5EF4-FFF2-40B4-BE49-F238E27FC236}">
              <a16:creationId xmlns:a16="http://schemas.microsoft.com/office/drawing/2014/main" id="{F91CD22E-F1D4-473A-AAC3-4E58F3B1AACA}"/>
            </a:ext>
          </a:extLst>
        </xdr:cNvPr>
        <xdr:cNvSpPr/>
      </xdr:nvSpPr>
      <xdr:spPr>
        <a:xfrm>
          <a:off x="14644688" y="3167062"/>
          <a:ext cx="4083844" cy="3000375"/>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1</xdr:col>
      <xdr:colOff>214312</xdr:colOff>
      <xdr:row>19</xdr:row>
      <xdr:rowOff>71438</xdr:rowOff>
    </xdr:from>
    <xdr:to>
      <xdr:col>2</xdr:col>
      <xdr:colOff>321469</xdr:colOff>
      <xdr:row>21</xdr:row>
      <xdr:rowOff>107157</xdr:rowOff>
    </xdr:to>
    <xdr:sp macro="" textlink="">
      <xdr:nvSpPr>
        <xdr:cNvPr id="39" name="Rectangle 38">
          <a:extLst>
            <a:ext uri="{FF2B5EF4-FFF2-40B4-BE49-F238E27FC236}">
              <a16:creationId xmlns:a16="http://schemas.microsoft.com/office/drawing/2014/main" id="{72B26BDA-B890-4F9B-9B7F-FAA4BFF07153}"/>
            </a:ext>
          </a:extLst>
        </xdr:cNvPr>
        <xdr:cNvSpPr/>
      </xdr:nvSpPr>
      <xdr:spPr>
        <a:xfrm>
          <a:off x="690562" y="3274219"/>
          <a:ext cx="1583532"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400" b="1">
              <a:solidFill>
                <a:sysClr val="windowText" lastClr="000000"/>
              </a:solidFill>
              <a:latin typeface="Times New Roman" panose="02020603050405020304" pitchFamily="18" charset="0"/>
              <a:cs typeface="Times New Roman" panose="02020603050405020304" pitchFamily="18" charset="0"/>
            </a:rPr>
            <a:t>Vue</a:t>
          </a:r>
          <a:r>
            <a:rPr lang="fr-CM" sz="1200" b="1" baseline="0">
              <a:solidFill>
                <a:sysClr val="windowText" lastClr="000000"/>
              </a:solidFill>
              <a:latin typeface="Times New Roman" panose="02020603050405020304" pitchFamily="18" charset="0"/>
              <a:cs typeface="Times New Roman" panose="02020603050405020304" pitchFamily="18" charset="0"/>
            </a:rPr>
            <a:t> </a:t>
          </a:r>
          <a:r>
            <a:rPr lang="fr-CM" sz="1400" b="1" baseline="0">
              <a:solidFill>
                <a:sysClr val="windowText" lastClr="000000"/>
              </a:solidFill>
              <a:latin typeface="Times New Roman" panose="02020603050405020304" pitchFamily="18" charset="0"/>
              <a:cs typeface="Times New Roman" panose="02020603050405020304" pitchFamily="18" charset="0"/>
            </a:rPr>
            <a:t>D'ensembles</a:t>
          </a:r>
          <a:endParaRPr lang="fr-CM" sz="1400"/>
        </a:p>
      </xdr:txBody>
    </xdr:sp>
    <xdr:clientData/>
  </xdr:twoCellAnchor>
  <xdr:twoCellAnchor>
    <xdr:from>
      <xdr:col>5</xdr:col>
      <xdr:colOff>392906</xdr:colOff>
      <xdr:row>19</xdr:row>
      <xdr:rowOff>83344</xdr:rowOff>
    </xdr:from>
    <xdr:to>
      <xdr:col>7</xdr:col>
      <xdr:colOff>416719</xdr:colOff>
      <xdr:row>21</xdr:row>
      <xdr:rowOff>119063</xdr:rowOff>
    </xdr:to>
    <xdr:sp macro="" textlink="">
      <xdr:nvSpPr>
        <xdr:cNvPr id="40" name="Rectangle 39">
          <a:extLst>
            <a:ext uri="{FF2B5EF4-FFF2-40B4-BE49-F238E27FC236}">
              <a16:creationId xmlns:a16="http://schemas.microsoft.com/office/drawing/2014/main" id="{CF809465-52C1-437A-946C-38DFCF14375F}"/>
            </a:ext>
          </a:extLst>
        </xdr:cNvPr>
        <xdr:cNvSpPr/>
      </xdr:nvSpPr>
      <xdr:spPr>
        <a:xfrm>
          <a:off x="4619625" y="3286125"/>
          <a:ext cx="2166938"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ysClr val="windowText" lastClr="000000"/>
              </a:solidFill>
              <a:latin typeface="Times New Roman" panose="02020603050405020304" pitchFamily="18" charset="0"/>
              <a:ea typeface="+mn-ea"/>
              <a:cs typeface="Times New Roman" panose="02020603050405020304" pitchFamily="18" charset="0"/>
            </a:rPr>
            <a:t>%</a:t>
          </a:r>
          <a:r>
            <a:rPr lang="fr-CM" sz="1400" b="1" baseline="0">
              <a:solidFill>
                <a:sysClr val="windowText" lastClr="000000"/>
              </a:solidFill>
              <a:latin typeface="Times New Roman" panose="02020603050405020304" pitchFamily="18" charset="0"/>
              <a:ea typeface="+mn-ea"/>
              <a:cs typeface="Times New Roman" panose="02020603050405020304" pitchFamily="18" charset="0"/>
            </a:rPr>
            <a:t> des dépenses</a:t>
          </a:r>
          <a:endParaRPr lang="fr-CM" sz="14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631031</xdr:colOff>
      <xdr:row>19</xdr:row>
      <xdr:rowOff>59532</xdr:rowOff>
    </xdr:from>
    <xdr:to>
      <xdr:col>13</xdr:col>
      <xdr:colOff>738187</xdr:colOff>
      <xdr:row>21</xdr:row>
      <xdr:rowOff>95251</xdr:rowOff>
    </xdr:to>
    <xdr:sp macro="" textlink="">
      <xdr:nvSpPr>
        <xdr:cNvPr id="42" name="Rectangle 41">
          <a:extLst>
            <a:ext uri="{FF2B5EF4-FFF2-40B4-BE49-F238E27FC236}">
              <a16:creationId xmlns:a16="http://schemas.microsoft.com/office/drawing/2014/main" id="{C33586BE-C8EA-42C8-B382-C6C85AB6370A}"/>
            </a:ext>
          </a:extLst>
        </xdr:cNvPr>
        <xdr:cNvSpPr/>
      </xdr:nvSpPr>
      <xdr:spPr>
        <a:xfrm>
          <a:off x="9453562" y="3262313"/>
          <a:ext cx="2274094"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ysClr val="windowText" lastClr="000000"/>
              </a:solidFill>
              <a:latin typeface="Times New Roman" panose="02020603050405020304" pitchFamily="18" charset="0"/>
              <a:ea typeface="+mn-ea"/>
              <a:cs typeface="Times New Roman" panose="02020603050405020304" pitchFamily="18" charset="0"/>
            </a:rPr>
            <a:t>Répartition des dépenses</a:t>
          </a:r>
        </a:p>
      </xdr:txBody>
    </xdr:sp>
    <xdr:clientData/>
  </xdr:twoCellAnchor>
  <xdr:twoCellAnchor>
    <xdr:from>
      <xdr:col>17</xdr:col>
      <xdr:colOff>678655</xdr:colOff>
      <xdr:row>19</xdr:row>
      <xdr:rowOff>59531</xdr:rowOff>
    </xdr:from>
    <xdr:to>
      <xdr:col>19</xdr:col>
      <xdr:colOff>773906</xdr:colOff>
      <xdr:row>21</xdr:row>
      <xdr:rowOff>95250</xdr:rowOff>
    </xdr:to>
    <xdr:sp macro="" textlink="">
      <xdr:nvSpPr>
        <xdr:cNvPr id="45" name="Rectangle 44">
          <a:extLst>
            <a:ext uri="{FF2B5EF4-FFF2-40B4-BE49-F238E27FC236}">
              <a16:creationId xmlns:a16="http://schemas.microsoft.com/office/drawing/2014/main" id="{2CB7ADF7-99DF-4E9E-9CDF-1F40B829F4FA}"/>
            </a:ext>
          </a:extLst>
        </xdr:cNvPr>
        <xdr:cNvSpPr/>
      </xdr:nvSpPr>
      <xdr:spPr>
        <a:xfrm>
          <a:off x="14989968" y="3262312"/>
          <a:ext cx="2238376"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ysClr val="windowText" lastClr="000000"/>
              </a:solidFill>
              <a:latin typeface="Times New Roman" panose="02020603050405020304" pitchFamily="18" charset="0"/>
              <a:ea typeface="+mn-ea"/>
              <a:cs typeface="Times New Roman" panose="02020603050405020304" pitchFamily="18" charset="0"/>
            </a:rPr>
            <a:t>Progression de l'épargne</a:t>
          </a:r>
        </a:p>
      </xdr:txBody>
    </xdr:sp>
    <xdr:clientData/>
  </xdr:twoCellAnchor>
  <xdr:twoCellAnchor>
    <xdr:from>
      <xdr:col>1</xdr:col>
      <xdr:colOff>83345</xdr:colOff>
      <xdr:row>21</xdr:row>
      <xdr:rowOff>59531</xdr:rowOff>
    </xdr:from>
    <xdr:to>
      <xdr:col>3</xdr:col>
      <xdr:colOff>642939</xdr:colOff>
      <xdr:row>33</xdr:row>
      <xdr:rowOff>83343</xdr:rowOff>
    </xdr:to>
    <xdr:graphicFrame macro="">
      <xdr:nvGraphicFramePr>
        <xdr:cNvPr id="47" name="Chart 46">
          <a:extLst>
            <a:ext uri="{FF2B5EF4-FFF2-40B4-BE49-F238E27FC236}">
              <a16:creationId xmlns:a16="http://schemas.microsoft.com/office/drawing/2014/main" id="{25DD36FE-BEDA-481A-9B79-7223FAD08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491966</xdr:colOff>
      <xdr:row>21</xdr:row>
      <xdr:rowOff>116274</xdr:rowOff>
    </xdr:from>
    <xdr:to>
      <xdr:col>9</xdr:col>
      <xdr:colOff>146686</xdr:colOff>
      <xdr:row>33</xdr:row>
      <xdr:rowOff>104366</xdr:rowOff>
    </xdr:to>
    <xdr:graphicFrame macro="">
      <xdr:nvGraphicFramePr>
        <xdr:cNvPr id="46" name="Chart 45">
          <a:extLst>
            <a:ext uri="{FF2B5EF4-FFF2-40B4-BE49-F238E27FC236}">
              <a16:creationId xmlns:a16="http://schemas.microsoft.com/office/drawing/2014/main" id="{1C54CC3F-A4B2-49FD-A79C-7AE541C22D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97465</xdr:colOff>
      <xdr:row>1</xdr:row>
      <xdr:rowOff>79743</xdr:rowOff>
    </xdr:from>
    <xdr:to>
      <xdr:col>2</xdr:col>
      <xdr:colOff>283536</xdr:colOff>
      <xdr:row>3</xdr:row>
      <xdr:rowOff>79743</xdr:rowOff>
    </xdr:to>
    <xdr:sp macro="" textlink="">
      <xdr:nvSpPr>
        <xdr:cNvPr id="57" name="Rectangle: Rounded Corners 56">
          <a:extLst>
            <a:ext uri="{FF2B5EF4-FFF2-40B4-BE49-F238E27FC236}">
              <a16:creationId xmlns:a16="http://schemas.microsoft.com/office/drawing/2014/main" id="{FD0A603B-0A82-CE1B-91CF-4622AD5E726D}"/>
            </a:ext>
          </a:extLst>
        </xdr:cNvPr>
        <xdr:cNvSpPr/>
      </xdr:nvSpPr>
      <xdr:spPr>
        <a:xfrm>
          <a:off x="575930" y="265813"/>
          <a:ext cx="1656908" cy="407581"/>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6</xdr:col>
      <xdr:colOff>311332</xdr:colOff>
      <xdr:row>25</xdr:row>
      <xdr:rowOff>136072</xdr:rowOff>
    </xdr:from>
    <xdr:to>
      <xdr:col>7</xdr:col>
      <xdr:colOff>441962</xdr:colOff>
      <xdr:row>28</xdr:row>
      <xdr:rowOff>157842</xdr:rowOff>
    </xdr:to>
    <xdr:sp macro="" textlink="#REF!">
      <xdr:nvSpPr>
        <xdr:cNvPr id="53" name="Rectangle 52">
          <a:extLst>
            <a:ext uri="{FF2B5EF4-FFF2-40B4-BE49-F238E27FC236}">
              <a16:creationId xmlns:a16="http://schemas.microsoft.com/office/drawing/2014/main" id="{BF8B1535-181D-4C09-AD91-221510457C19}"/>
            </a:ext>
          </a:extLst>
        </xdr:cNvPr>
        <xdr:cNvSpPr/>
      </xdr:nvSpPr>
      <xdr:spPr>
        <a:xfrm>
          <a:off x="5675812" y="4509952"/>
          <a:ext cx="1113610" cy="5704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A334ECD-8297-440C-B89A-0AFE317E064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lgn="ctr"/>
            <a:t>30%</a:t>
          </a:fld>
          <a:endParaRPr lang="fr-CM" sz="24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668480</xdr:colOff>
      <xdr:row>21</xdr:row>
      <xdr:rowOff>22859</xdr:rowOff>
    </xdr:from>
    <xdr:to>
      <xdr:col>15</xdr:col>
      <xdr:colOff>320138</xdr:colOff>
      <xdr:row>34</xdr:row>
      <xdr:rowOff>181594</xdr:rowOff>
    </xdr:to>
    <xdr:graphicFrame macro="">
      <xdr:nvGraphicFramePr>
        <xdr:cNvPr id="55" name="Chart 54">
          <a:extLst>
            <a:ext uri="{FF2B5EF4-FFF2-40B4-BE49-F238E27FC236}">
              <a16:creationId xmlns:a16="http://schemas.microsoft.com/office/drawing/2014/main" id="{8DC2EE00-84BD-40C0-AE37-855B3A65E2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562920</xdr:colOff>
      <xdr:row>21</xdr:row>
      <xdr:rowOff>157892</xdr:rowOff>
    </xdr:from>
    <xdr:to>
      <xdr:col>21</xdr:col>
      <xdr:colOff>446217</xdr:colOff>
      <xdr:row>33</xdr:row>
      <xdr:rowOff>132492</xdr:rowOff>
    </xdr:to>
    <xdr:graphicFrame macro="">
      <xdr:nvGraphicFramePr>
        <xdr:cNvPr id="51" name="Chart 50">
          <a:extLst>
            <a:ext uri="{FF2B5EF4-FFF2-40B4-BE49-F238E27FC236}">
              <a16:creationId xmlns:a16="http://schemas.microsoft.com/office/drawing/2014/main" id="{462E5156-2D7F-4D98-BC74-882578CFC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17721</xdr:colOff>
      <xdr:row>3</xdr:row>
      <xdr:rowOff>159489</xdr:rowOff>
    </xdr:from>
    <xdr:to>
      <xdr:col>28</xdr:col>
      <xdr:colOff>575931</xdr:colOff>
      <xdr:row>3</xdr:row>
      <xdr:rowOff>168349</xdr:rowOff>
    </xdr:to>
    <xdr:cxnSp macro="">
      <xdr:nvCxnSpPr>
        <xdr:cNvPr id="54" name="Straight Connector 53">
          <a:extLst>
            <a:ext uri="{FF2B5EF4-FFF2-40B4-BE49-F238E27FC236}">
              <a16:creationId xmlns:a16="http://schemas.microsoft.com/office/drawing/2014/main" id="{199ED324-9214-BEE8-516B-8843415D53F3}"/>
            </a:ext>
          </a:extLst>
        </xdr:cNvPr>
        <xdr:cNvCxnSpPr/>
      </xdr:nvCxnSpPr>
      <xdr:spPr>
        <a:xfrm flipV="1">
          <a:off x="17721" y="753140"/>
          <a:ext cx="23178977" cy="8860"/>
        </a:xfrm>
        <a:prstGeom prst="line">
          <a:avLst/>
        </a:prstGeom>
        <a:ln>
          <a:solidFill>
            <a:schemeClr val="bg2"/>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xdr:col>
      <xdr:colOff>194929</xdr:colOff>
      <xdr:row>1</xdr:row>
      <xdr:rowOff>159487</xdr:rowOff>
    </xdr:from>
    <xdr:to>
      <xdr:col>2</xdr:col>
      <xdr:colOff>806303</xdr:colOff>
      <xdr:row>3</xdr:row>
      <xdr:rowOff>53163</xdr:rowOff>
    </xdr:to>
    <xdr:grpSp>
      <xdr:nvGrpSpPr>
        <xdr:cNvPr id="1033" name="Group 1032">
          <a:extLst>
            <a:ext uri="{FF2B5EF4-FFF2-40B4-BE49-F238E27FC236}">
              <a16:creationId xmlns:a16="http://schemas.microsoft.com/office/drawing/2014/main" id="{B289CF00-1174-26D7-6DEA-06C6667AEF16}"/>
            </a:ext>
          </a:extLst>
        </xdr:cNvPr>
        <xdr:cNvGrpSpPr/>
      </xdr:nvGrpSpPr>
      <xdr:grpSpPr>
        <a:xfrm>
          <a:off x="677529" y="337287"/>
          <a:ext cx="2084574" cy="287376"/>
          <a:chOff x="673394" y="345557"/>
          <a:chExt cx="2082211" cy="301257"/>
        </a:xfrm>
      </xdr:grpSpPr>
      <xdr:pic>
        <xdr:nvPicPr>
          <xdr:cNvPr id="56" name="Picture 55">
            <a:extLst>
              <a:ext uri="{FF2B5EF4-FFF2-40B4-BE49-F238E27FC236}">
                <a16:creationId xmlns:a16="http://schemas.microsoft.com/office/drawing/2014/main" id="{D7A7B0CD-8D00-94E2-878C-BE8EFC060636}"/>
              </a:ext>
            </a:extLst>
          </xdr:cNvPr>
          <xdr:cNvPicPr>
            <a:picLocks noChangeAspect="1"/>
          </xdr:cNvPicPr>
        </xdr:nvPicPr>
        <xdr:blipFill>
          <a:blip xmlns:r="http://schemas.openxmlformats.org/officeDocument/2006/relationships" r:embed="rId10"/>
          <a:stretch>
            <a:fillRect/>
          </a:stretch>
        </xdr:blipFill>
        <xdr:spPr>
          <a:xfrm>
            <a:off x="673394" y="416442"/>
            <a:ext cx="212652" cy="207649"/>
          </a:xfrm>
          <a:prstGeom prst="rect">
            <a:avLst/>
          </a:prstGeom>
          <a:ln>
            <a:noFill/>
          </a:ln>
        </xdr:spPr>
      </xdr:pic>
      <xdr:sp macro="" textlink="">
        <xdr:nvSpPr>
          <xdr:cNvPr id="1025" name="Text Box 1">
            <a:extLst>
              <a:ext uri="{FF2B5EF4-FFF2-40B4-BE49-F238E27FC236}">
                <a16:creationId xmlns:a16="http://schemas.microsoft.com/office/drawing/2014/main" id="{BD15514C-B5CB-6ED0-A5F7-29E7232D1AE0}"/>
              </a:ext>
            </a:extLst>
          </xdr:cNvPr>
          <xdr:cNvSpPr txBox="1">
            <a:spLocks noChangeArrowheads="1"/>
          </xdr:cNvSpPr>
        </xdr:nvSpPr>
        <xdr:spPr bwMode="auto">
          <a:xfrm>
            <a:off x="859465" y="345557"/>
            <a:ext cx="1896140" cy="301257"/>
          </a:xfrm>
          <a:prstGeom prst="rect">
            <a:avLst/>
          </a:prstGeom>
          <a:noFill/>
          <a:ln w="9525">
            <a:noFill/>
            <a:miter lim="800000"/>
            <a:headEnd/>
            <a:tailEnd/>
          </a:ln>
        </xdr:spPr>
        <xdr:txBody>
          <a:bodyPr vertOverflow="clip" wrap="square" lIns="27432" tIns="27432" rIns="0" bIns="0" anchor="t" upright="1"/>
          <a:lstStyle/>
          <a:p>
            <a:pPr algn="ctr" rtl="0">
              <a:defRPr sz="1000"/>
            </a:pPr>
            <a:r>
              <a:rPr lang="fr-CM" sz="1800" b="1" i="0" u="none" strike="noStrike" baseline="0">
                <a:solidFill>
                  <a:srgbClr val="000000"/>
                </a:solidFill>
                <a:latin typeface="Times New Roman" panose="02020603050405020304" pitchFamily="18" charset="0"/>
                <a:cs typeface="Times New Roman" panose="02020603050405020304" pitchFamily="18" charset="0"/>
              </a:rPr>
              <a:t>Mon Suivi </a:t>
            </a:r>
            <a:r>
              <a:rPr lang="fr-CM" sz="1200" b="1" i="0" u="none" strike="noStrike" baseline="0">
                <a:solidFill>
                  <a:schemeClr val="bg1">
                    <a:lumMod val="65000"/>
                  </a:schemeClr>
                </a:solidFill>
                <a:latin typeface="Times New Roman" panose="02020603050405020304" pitchFamily="18" charset="0"/>
                <a:cs typeface="Times New Roman" panose="02020603050405020304" pitchFamily="18" charset="0"/>
              </a:rPr>
              <a:t>Financier</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grpSp>
    <xdr:clientData/>
  </xdr:twoCellAnchor>
  <xdr:twoCellAnchor>
    <xdr:from>
      <xdr:col>5</xdr:col>
      <xdr:colOff>327836</xdr:colOff>
      <xdr:row>1</xdr:row>
      <xdr:rowOff>150628</xdr:rowOff>
    </xdr:from>
    <xdr:to>
      <xdr:col>6</xdr:col>
      <xdr:colOff>487324</xdr:colOff>
      <xdr:row>3</xdr:row>
      <xdr:rowOff>26583</xdr:rowOff>
    </xdr:to>
    <xdr:sp macro="" textlink="">
      <xdr:nvSpPr>
        <xdr:cNvPr id="60" name="Rectangle: Rounded Corners 59">
          <a:extLst>
            <a:ext uri="{FF2B5EF4-FFF2-40B4-BE49-F238E27FC236}">
              <a16:creationId xmlns:a16="http://schemas.microsoft.com/office/drawing/2014/main" id="{C48ED744-C66D-42C2-AFF2-2A34D1A1287A}"/>
            </a:ext>
          </a:extLst>
        </xdr:cNvPr>
        <xdr:cNvSpPr/>
      </xdr:nvSpPr>
      <xdr:spPr>
        <a:xfrm>
          <a:off x="4545417" y="336698"/>
          <a:ext cx="1311349"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6</xdr:col>
      <xdr:colOff>655675</xdr:colOff>
      <xdr:row>1</xdr:row>
      <xdr:rowOff>159489</xdr:rowOff>
    </xdr:from>
    <xdr:to>
      <xdr:col>7</xdr:col>
      <xdr:colOff>655675</xdr:colOff>
      <xdr:row>3</xdr:row>
      <xdr:rowOff>35444</xdr:rowOff>
    </xdr:to>
    <xdr:sp macro="" textlink="">
      <xdr:nvSpPr>
        <xdr:cNvPr id="62" name="Rectangle: Rounded Corners 61">
          <a:extLst>
            <a:ext uri="{FF2B5EF4-FFF2-40B4-BE49-F238E27FC236}">
              <a16:creationId xmlns:a16="http://schemas.microsoft.com/office/drawing/2014/main" id="{49B6C08E-B0F8-44F2-AC73-76AA4292C74E}"/>
            </a:ext>
          </a:extLst>
        </xdr:cNvPr>
        <xdr:cNvSpPr/>
      </xdr:nvSpPr>
      <xdr:spPr>
        <a:xfrm>
          <a:off x="6025117" y="345559"/>
          <a:ext cx="983511"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3</xdr:col>
      <xdr:colOff>292395</xdr:colOff>
      <xdr:row>1</xdr:row>
      <xdr:rowOff>177209</xdr:rowOff>
    </xdr:from>
    <xdr:to>
      <xdr:col>4</xdr:col>
      <xdr:colOff>186069</xdr:colOff>
      <xdr:row>2</xdr:row>
      <xdr:rowOff>212651</xdr:rowOff>
    </xdr:to>
    <xdr:grpSp>
      <xdr:nvGrpSpPr>
        <xdr:cNvPr id="1032" name="Group 1031">
          <a:extLst>
            <a:ext uri="{FF2B5EF4-FFF2-40B4-BE49-F238E27FC236}">
              <a16:creationId xmlns:a16="http://schemas.microsoft.com/office/drawing/2014/main" id="{02EF1F2B-64CF-E003-B1F9-0B3C0B085604}"/>
            </a:ext>
          </a:extLst>
        </xdr:cNvPr>
        <xdr:cNvGrpSpPr/>
      </xdr:nvGrpSpPr>
      <xdr:grpSpPr>
        <a:xfrm>
          <a:off x="3226095" y="355009"/>
          <a:ext cx="985874" cy="213242"/>
          <a:chOff x="2968256" y="381000"/>
          <a:chExt cx="983511" cy="221512"/>
        </a:xfrm>
      </xdr:grpSpPr>
      <xdr:sp macro="" textlink="">
        <xdr:nvSpPr>
          <xdr:cNvPr id="1026" name="Text Box 2">
            <a:hlinkClick xmlns:r="http://schemas.openxmlformats.org/officeDocument/2006/relationships" r:id="rId1"/>
            <a:extLst>
              <a:ext uri="{FF2B5EF4-FFF2-40B4-BE49-F238E27FC236}">
                <a16:creationId xmlns:a16="http://schemas.microsoft.com/office/drawing/2014/main" id="{0DFE1729-00FB-4CE6-462B-86C58ADAC2F5}"/>
              </a:ext>
            </a:extLst>
          </xdr:cNvPr>
          <xdr:cNvSpPr txBox="1">
            <a:spLocks noChangeArrowheads="1"/>
          </xdr:cNvSpPr>
        </xdr:nvSpPr>
        <xdr:spPr bwMode="auto">
          <a:xfrm>
            <a:off x="3154323" y="381000"/>
            <a:ext cx="797444" cy="221511"/>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accent4">
                    <a:lumMod val="60000"/>
                    <a:lumOff val="40000"/>
                  </a:schemeClr>
                </a:solidFill>
                <a:latin typeface="Times New Roman" panose="02020603050405020304" pitchFamily="18" charset="0"/>
                <a:cs typeface="Times New Roman" panose="02020603050405020304" pitchFamily="18" charset="0"/>
              </a:rPr>
              <a:t>Dasboard</a:t>
            </a:r>
            <a:endParaRPr lang="fr-CM" sz="1100" b="1" i="0" u="none" strike="noStrike" baseline="0">
              <a:solidFill>
                <a:schemeClr val="accent4">
                  <a:lumMod val="60000"/>
                  <a:lumOff val="40000"/>
                </a:schemeClr>
              </a:solidFill>
              <a:latin typeface="Times New Roman" panose="02020603050405020304" pitchFamily="18" charset="0"/>
              <a:cs typeface="Times New Roman" panose="02020603050405020304" pitchFamily="18" charset="0"/>
            </a:endParaRPr>
          </a:p>
        </xdr:txBody>
      </xdr:sp>
      <xdr:pic>
        <xdr:nvPicPr>
          <xdr:cNvPr id="1024" name="Picture 1023">
            <a:extLst>
              <a:ext uri="{FF2B5EF4-FFF2-40B4-BE49-F238E27FC236}">
                <a16:creationId xmlns:a16="http://schemas.microsoft.com/office/drawing/2014/main" id="{2E76F92E-87E3-C2F5-F4CA-7723ECF86584}"/>
              </a:ext>
            </a:extLst>
          </xdr:cNvPr>
          <xdr:cNvPicPr>
            <a:picLocks noChangeAspect="1"/>
          </xdr:cNvPicPr>
        </xdr:nvPicPr>
        <xdr:blipFill>
          <a:blip xmlns:r="http://schemas.openxmlformats.org/officeDocument/2006/relationships" r:embed="rId11"/>
          <a:stretch>
            <a:fillRect/>
          </a:stretch>
        </xdr:blipFill>
        <xdr:spPr>
          <a:xfrm>
            <a:off x="2968256" y="434164"/>
            <a:ext cx="168348" cy="168348"/>
          </a:xfrm>
          <a:prstGeom prst="rect">
            <a:avLst/>
          </a:prstGeom>
        </xdr:spPr>
      </xdr:pic>
    </xdr:grpSp>
    <xdr:clientData/>
  </xdr:twoCellAnchor>
  <xdr:twoCellAnchor>
    <xdr:from>
      <xdr:col>7</xdr:col>
      <xdr:colOff>389862</xdr:colOff>
      <xdr:row>1</xdr:row>
      <xdr:rowOff>177211</xdr:rowOff>
    </xdr:from>
    <xdr:to>
      <xdr:col>8</xdr:col>
      <xdr:colOff>117843</xdr:colOff>
      <xdr:row>2</xdr:row>
      <xdr:rowOff>203793</xdr:rowOff>
    </xdr:to>
    <xdr:grpSp>
      <xdr:nvGrpSpPr>
        <xdr:cNvPr id="1035" name="Group 1034">
          <a:extLst>
            <a:ext uri="{FF2B5EF4-FFF2-40B4-BE49-F238E27FC236}">
              <a16:creationId xmlns:a16="http://schemas.microsoft.com/office/drawing/2014/main" id="{AB5D218D-633E-FDC7-61DA-9D0BBEB0357C}"/>
            </a:ext>
          </a:extLst>
        </xdr:cNvPr>
        <xdr:cNvGrpSpPr/>
      </xdr:nvGrpSpPr>
      <xdr:grpSpPr>
        <a:xfrm>
          <a:off x="6739862" y="355011"/>
          <a:ext cx="832881" cy="204382"/>
          <a:chOff x="6158025" y="345560"/>
          <a:chExt cx="835540" cy="212652"/>
        </a:xfrm>
      </xdr:grpSpPr>
      <xdr:sp macro="" textlink="">
        <xdr:nvSpPr>
          <xdr:cNvPr id="63" name="Text Box 2">
            <a:hlinkClick xmlns:r="http://schemas.openxmlformats.org/officeDocument/2006/relationships" r:id="rId12"/>
            <a:extLst>
              <a:ext uri="{FF2B5EF4-FFF2-40B4-BE49-F238E27FC236}">
                <a16:creationId xmlns:a16="http://schemas.microsoft.com/office/drawing/2014/main" id="{99823A56-1F34-4F98-B8BD-8E09AC0B65C6}"/>
              </a:ext>
            </a:extLst>
          </xdr:cNvPr>
          <xdr:cNvSpPr txBox="1">
            <a:spLocks noChangeArrowheads="1"/>
          </xdr:cNvSpPr>
        </xdr:nvSpPr>
        <xdr:spPr bwMode="auto">
          <a:xfrm>
            <a:off x="6379535" y="345560"/>
            <a:ext cx="614030" cy="212652"/>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cs typeface="Times New Roman" panose="02020603050405020304" pitchFamily="18" charset="0"/>
              </a:rPr>
              <a:t>Budjet</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pic>
        <xdr:nvPicPr>
          <xdr:cNvPr id="1028" name="Picture 1027">
            <a:extLst>
              <a:ext uri="{FF2B5EF4-FFF2-40B4-BE49-F238E27FC236}">
                <a16:creationId xmlns:a16="http://schemas.microsoft.com/office/drawing/2014/main" id="{13B6EBF9-7C9A-5958-6668-D18FCA98439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158025" y="381000"/>
            <a:ext cx="177208" cy="177208"/>
          </a:xfrm>
          <a:prstGeom prst="rect">
            <a:avLst/>
          </a:prstGeom>
        </xdr:spPr>
      </xdr:pic>
    </xdr:grpSp>
    <xdr:clientData/>
  </xdr:twoCellAnchor>
  <xdr:twoCellAnchor>
    <xdr:from>
      <xdr:col>5</xdr:col>
      <xdr:colOff>717070</xdr:colOff>
      <xdr:row>1</xdr:row>
      <xdr:rowOff>177211</xdr:rowOff>
    </xdr:from>
    <xdr:to>
      <xdr:col>6</xdr:col>
      <xdr:colOff>744279</xdr:colOff>
      <xdr:row>3</xdr:row>
      <xdr:rowOff>0</xdr:rowOff>
    </xdr:to>
    <xdr:grpSp>
      <xdr:nvGrpSpPr>
        <xdr:cNvPr id="1034" name="Group 1033">
          <a:extLst>
            <a:ext uri="{FF2B5EF4-FFF2-40B4-BE49-F238E27FC236}">
              <a16:creationId xmlns:a16="http://schemas.microsoft.com/office/drawing/2014/main" id="{318FD1D4-ADB2-9B28-5952-835F81EEE68D}"/>
            </a:ext>
          </a:extLst>
        </xdr:cNvPr>
        <xdr:cNvGrpSpPr/>
      </xdr:nvGrpSpPr>
      <xdr:grpSpPr>
        <a:xfrm>
          <a:off x="4933470" y="355011"/>
          <a:ext cx="1182909" cy="216489"/>
          <a:chOff x="4527070" y="363281"/>
          <a:chExt cx="1179070" cy="230370"/>
        </a:xfrm>
      </xdr:grpSpPr>
      <xdr:sp macro="" textlink="">
        <xdr:nvSpPr>
          <xdr:cNvPr id="61" name="Text Box 2">
            <a:hlinkClick xmlns:r="http://schemas.openxmlformats.org/officeDocument/2006/relationships" r:id="rId14"/>
            <a:extLst>
              <a:ext uri="{FF2B5EF4-FFF2-40B4-BE49-F238E27FC236}">
                <a16:creationId xmlns:a16="http://schemas.microsoft.com/office/drawing/2014/main" id="{8774F18B-9C07-42C5-9EDE-19D195009315}"/>
              </a:ext>
            </a:extLst>
          </xdr:cNvPr>
          <xdr:cNvSpPr txBox="1">
            <a:spLocks noChangeArrowheads="1"/>
          </xdr:cNvSpPr>
        </xdr:nvSpPr>
        <xdr:spPr bwMode="auto">
          <a:xfrm>
            <a:off x="4758068" y="363281"/>
            <a:ext cx="948072" cy="230370"/>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cs typeface="Times New Roman" panose="02020603050405020304" pitchFamily="18" charset="0"/>
              </a:rPr>
              <a:t>Transaction</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pic>
        <xdr:nvPicPr>
          <xdr:cNvPr id="1030" name="Picture 1029">
            <a:extLst>
              <a:ext uri="{FF2B5EF4-FFF2-40B4-BE49-F238E27FC236}">
                <a16:creationId xmlns:a16="http://schemas.microsoft.com/office/drawing/2014/main" id="{11F27173-47CC-B90F-5B3A-7952B72F4EF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527070" y="389231"/>
            <a:ext cx="186697" cy="186697"/>
          </a:xfrm>
          <a:prstGeom prst="rect">
            <a:avLst/>
          </a:prstGeom>
        </xdr:spPr>
      </xdr:pic>
    </xdr:grpSp>
    <xdr:clientData/>
  </xdr:twoCellAnchor>
  <xdr:twoCellAnchor>
    <xdr:from>
      <xdr:col>26</xdr:col>
      <xdr:colOff>292102</xdr:colOff>
      <xdr:row>11</xdr:row>
      <xdr:rowOff>1</xdr:rowOff>
    </xdr:from>
    <xdr:to>
      <xdr:col>27</xdr:col>
      <xdr:colOff>50800</xdr:colOff>
      <xdr:row>12</xdr:row>
      <xdr:rowOff>76201</xdr:rowOff>
    </xdr:to>
    <xdr:grpSp>
      <xdr:nvGrpSpPr>
        <xdr:cNvPr id="48" name="Group 47">
          <a:extLst>
            <a:ext uri="{FF2B5EF4-FFF2-40B4-BE49-F238E27FC236}">
              <a16:creationId xmlns:a16="http://schemas.microsoft.com/office/drawing/2014/main" id="{A9AEAB13-6266-AD2D-96F8-D315296662A2}"/>
            </a:ext>
          </a:extLst>
        </xdr:cNvPr>
        <xdr:cNvGrpSpPr/>
      </xdr:nvGrpSpPr>
      <xdr:grpSpPr>
        <a:xfrm>
          <a:off x="22301202" y="1993901"/>
          <a:ext cx="368298" cy="254000"/>
          <a:chOff x="22301202" y="1993901"/>
          <a:chExt cx="368298" cy="254000"/>
        </a:xfrm>
      </xdr:grpSpPr>
      <xdr:sp macro="" textlink="">
        <xdr:nvSpPr>
          <xdr:cNvPr id="25" name="Flowchart: Connector 24">
            <a:extLst>
              <a:ext uri="{FF2B5EF4-FFF2-40B4-BE49-F238E27FC236}">
                <a16:creationId xmlns:a16="http://schemas.microsoft.com/office/drawing/2014/main" id="{5DE372A6-B082-488F-839A-51AD3CB74150}"/>
              </a:ext>
            </a:extLst>
          </xdr:cNvPr>
          <xdr:cNvSpPr/>
        </xdr:nvSpPr>
        <xdr:spPr>
          <a:xfrm>
            <a:off x="22301202" y="2006600"/>
            <a:ext cx="228598" cy="241300"/>
          </a:xfrm>
          <a:prstGeom prst="flowChartConnector">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24" name="Flowchart: Connector 23">
            <a:extLst>
              <a:ext uri="{FF2B5EF4-FFF2-40B4-BE49-F238E27FC236}">
                <a16:creationId xmlns:a16="http://schemas.microsoft.com/office/drawing/2014/main" id="{69E877FB-1E79-50B5-47E6-B3938640484E}"/>
              </a:ext>
            </a:extLst>
          </xdr:cNvPr>
          <xdr:cNvSpPr/>
        </xdr:nvSpPr>
        <xdr:spPr>
          <a:xfrm>
            <a:off x="22453600" y="1993901"/>
            <a:ext cx="215900" cy="254000"/>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373380</xdr:colOff>
      <xdr:row>4</xdr:row>
      <xdr:rowOff>160020</xdr:rowOff>
    </xdr:from>
    <xdr:to>
      <xdr:col>5</xdr:col>
      <xdr:colOff>1273380</xdr:colOff>
      <xdr:row>5</xdr:row>
      <xdr:rowOff>266700</xdr:rowOff>
    </xdr:to>
    <xdr:sp macro="[0]!Module2.Annuler" textlink="">
      <xdr:nvSpPr>
        <xdr:cNvPr id="2" name="Rectangle: Rounded Corners 1">
          <a:extLst>
            <a:ext uri="{FF2B5EF4-FFF2-40B4-BE49-F238E27FC236}">
              <a16:creationId xmlns:a16="http://schemas.microsoft.com/office/drawing/2014/main" id="{DE93DC72-F7CC-633B-C0CD-24A6CBB307D5}"/>
            </a:ext>
          </a:extLst>
        </xdr:cNvPr>
        <xdr:cNvSpPr/>
      </xdr:nvSpPr>
      <xdr:spPr>
        <a:xfrm>
          <a:off x="8328660" y="891540"/>
          <a:ext cx="900000" cy="297180"/>
        </a:xfrm>
        <a:prstGeom prst="roundRect">
          <a:avLst/>
        </a:prstGeom>
        <a:solidFill>
          <a:schemeClr val="bg2"/>
        </a:solidFill>
        <a:ln>
          <a:noFill/>
        </a:ln>
        <a:effectLst>
          <a:outerShdw blurRad="63500" sx="102000" sy="102000" algn="ctr"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M" sz="1100">
              <a:solidFill>
                <a:schemeClr val="tx1"/>
              </a:solidFill>
              <a:latin typeface="Times New Roman" panose="02020603050405020304" pitchFamily="18" charset="0"/>
              <a:cs typeface="Times New Roman" panose="02020603050405020304" pitchFamily="18" charset="0"/>
            </a:rPr>
            <a:t>Annuler</a:t>
          </a:r>
        </a:p>
      </xdr:txBody>
    </xdr:sp>
    <xdr:clientData/>
  </xdr:twoCellAnchor>
  <xdr:twoCellAnchor>
    <xdr:from>
      <xdr:col>5</xdr:col>
      <xdr:colOff>381000</xdr:colOff>
      <xdr:row>6</xdr:row>
      <xdr:rowOff>106680</xdr:rowOff>
    </xdr:from>
    <xdr:to>
      <xdr:col>5</xdr:col>
      <xdr:colOff>1281000</xdr:colOff>
      <xdr:row>7</xdr:row>
      <xdr:rowOff>99060</xdr:rowOff>
    </xdr:to>
    <xdr:sp macro="[0]!Add" textlink="">
      <xdr:nvSpPr>
        <xdr:cNvPr id="7" name="Rectangle: Rounded Corners 2">
          <a:extLst>
            <a:ext uri="{FF2B5EF4-FFF2-40B4-BE49-F238E27FC236}">
              <a16:creationId xmlns:a16="http://schemas.microsoft.com/office/drawing/2014/main" id="{C0F1239C-A385-4FA1-90D8-01614BE8E913}"/>
            </a:ext>
          </a:extLst>
        </xdr:cNvPr>
        <xdr:cNvSpPr/>
      </xdr:nvSpPr>
      <xdr:spPr>
        <a:xfrm>
          <a:off x="8336280" y="1333500"/>
          <a:ext cx="900000" cy="297180"/>
        </a:xfrm>
        <a:prstGeom prst="roundRect">
          <a:avLst/>
        </a:prstGeom>
        <a:solidFill>
          <a:srgbClr val="00B0F0"/>
        </a:solidFill>
        <a:ln>
          <a:noFill/>
        </a:ln>
        <a:effectLst>
          <a:outerShdw blurRad="63500" sx="102000" sy="102000" algn="ctr" rotWithShape="0">
            <a:srgbClr val="00B0F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M" sz="1100">
              <a:latin typeface="Times New Roman" panose="02020603050405020304" pitchFamily="18" charset="0"/>
              <a:cs typeface="Times New Roman" panose="02020603050405020304" pitchFamily="18" charset="0"/>
            </a:rPr>
            <a:t>Ajouter</a:t>
          </a:r>
        </a:p>
      </xdr:txBody>
    </xdr:sp>
    <xdr:clientData/>
  </xdr:twoCellAnchor>
  <xdr:twoCellAnchor>
    <xdr:from>
      <xdr:col>2</xdr:col>
      <xdr:colOff>858047</xdr:colOff>
      <xdr:row>1</xdr:row>
      <xdr:rowOff>71061</xdr:rowOff>
    </xdr:from>
    <xdr:to>
      <xdr:col>3</xdr:col>
      <xdr:colOff>84883</xdr:colOff>
      <xdr:row>2</xdr:row>
      <xdr:rowOff>171717</xdr:rowOff>
    </xdr:to>
    <xdr:sp macro="" textlink="">
      <xdr:nvSpPr>
        <xdr:cNvPr id="3" name="Rectangle: Rounded Corners 2">
          <a:extLst>
            <a:ext uri="{FF2B5EF4-FFF2-40B4-BE49-F238E27FC236}">
              <a16:creationId xmlns:a16="http://schemas.microsoft.com/office/drawing/2014/main" id="{A799BAF8-43FE-44A0-BFDD-A956300D0123}"/>
            </a:ext>
          </a:extLst>
        </xdr:cNvPr>
        <xdr:cNvSpPr/>
      </xdr:nvSpPr>
      <xdr:spPr>
        <a:xfrm>
          <a:off x="3304067" y="253941"/>
          <a:ext cx="1063256"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0</xdr:col>
      <xdr:colOff>0</xdr:colOff>
      <xdr:row>3</xdr:row>
      <xdr:rowOff>83820</xdr:rowOff>
    </xdr:from>
    <xdr:to>
      <xdr:col>27</xdr:col>
      <xdr:colOff>259612</xdr:colOff>
      <xdr:row>3</xdr:row>
      <xdr:rowOff>133263</xdr:rowOff>
    </xdr:to>
    <xdr:cxnSp macro="">
      <xdr:nvCxnSpPr>
        <xdr:cNvPr id="4" name="Straight Connector 3">
          <a:extLst>
            <a:ext uri="{FF2B5EF4-FFF2-40B4-BE49-F238E27FC236}">
              <a16:creationId xmlns:a16="http://schemas.microsoft.com/office/drawing/2014/main" id="{F22A6118-EC78-480C-9798-AA4D063DE7B8}"/>
            </a:ext>
          </a:extLst>
        </xdr:cNvPr>
        <xdr:cNvCxnSpPr/>
      </xdr:nvCxnSpPr>
      <xdr:spPr>
        <a:xfrm>
          <a:off x="0" y="632460"/>
          <a:ext cx="23272012" cy="49443"/>
        </a:xfrm>
        <a:prstGeom prst="line">
          <a:avLst/>
        </a:prstGeom>
        <a:ln>
          <a:solidFill>
            <a:schemeClr val="bg2"/>
          </a:solidFill>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xdr:col>
      <xdr:colOff>108628</xdr:colOff>
      <xdr:row>1</xdr:row>
      <xdr:rowOff>108985</xdr:rowOff>
    </xdr:from>
    <xdr:to>
      <xdr:col>1</xdr:col>
      <xdr:colOff>321280</xdr:colOff>
      <xdr:row>2</xdr:row>
      <xdr:rowOff>133754</xdr:rowOff>
    </xdr:to>
    <xdr:pic>
      <xdr:nvPicPr>
        <xdr:cNvPr id="5" name="Picture 4">
          <a:extLst>
            <a:ext uri="{FF2B5EF4-FFF2-40B4-BE49-F238E27FC236}">
              <a16:creationId xmlns:a16="http://schemas.microsoft.com/office/drawing/2014/main" id="{7856D23F-C482-4AEE-8E7B-B883FCED1DF7}"/>
            </a:ext>
          </a:extLst>
        </xdr:cNvPr>
        <xdr:cNvPicPr>
          <a:picLocks noChangeAspect="1"/>
        </xdr:cNvPicPr>
      </xdr:nvPicPr>
      <xdr:blipFill>
        <a:blip xmlns:r="http://schemas.openxmlformats.org/officeDocument/2006/relationships" r:embed="rId1"/>
        <a:stretch>
          <a:fillRect/>
        </a:stretch>
      </xdr:blipFill>
      <xdr:spPr>
        <a:xfrm>
          <a:off x="718228" y="291865"/>
          <a:ext cx="212652" cy="207649"/>
        </a:xfrm>
        <a:prstGeom prst="rect">
          <a:avLst/>
        </a:prstGeom>
        <a:ln>
          <a:noFill/>
        </a:ln>
      </xdr:spPr>
    </xdr:pic>
    <xdr:clientData/>
  </xdr:twoCellAnchor>
  <xdr:twoCellAnchor>
    <xdr:from>
      <xdr:col>1</xdr:col>
      <xdr:colOff>294699</xdr:colOff>
      <xdr:row>1</xdr:row>
      <xdr:rowOff>38100</xdr:rowOff>
    </xdr:from>
    <xdr:to>
      <xdr:col>2</xdr:col>
      <xdr:colOff>354419</xdr:colOff>
      <xdr:row>2</xdr:row>
      <xdr:rowOff>156477</xdr:rowOff>
    </xdr:to>
    <xdr:sp macro="" textlink="">
      <xdr:nvSpPr>
        <xdr:cNvPr id="6" name="Text Box 1">
          <a:extLst>
            <a:ext uri="{FF2B5EF4-FFF2-40B4-BE49-F238E27FC236}">
              <a16:creationId xmlns:a16="http://schemas.microsoft.com/office/drawing/2014/main" id="{F6DF07FB-DB3A-4FB6-943D-298BEF43C985}"/>
            </a:ext>
          </a:extLst>
        </xdr:cNvPr>
        <xdr:cNvSpPr txBox="1">
          <a:spLocks noChangeArrowheads="1"/>
        </xdr:cNvSpPr>
      </xdr:nvSpPr>
      <xdr:spPr bwMode="auto">
        <a:xfrm>
          <a:off x="904299" y="220980"/>
          <a:ext cx="1896140" cy="301257"/>
        </a:xfrm>
        <a:prstGeom prst="rect">
          <a:avLst/>
        </a:prstGeom>
        <a:noFill/>
        <a:ln w="9525">
          <a:noFill/>
          <a:miter lim="800000"/>
          <a:headEnd/>
          <a:tailEnd/>
        </a:ln>
      </xdr:spPr>
      <xdr:txBody>
        <a:bodyPr vertOverflow="clip" wrap="square" lIns="27432" tIns="27432" rIns="0" bIns="0" anchor="t" upright="1"/>
        <a:lstStyle/>
        <a:p>
          <a:pPr algn="ctr" rtl="0">
            <a:defRPr sz="1000"/>
          </a:pPr>
          <a:r>
            <a:rPr lang="fr-CM" sz="1800" b="1" i="0" u="none" strike="noStrike" baseline="0">
              <a:solidFill>
                <a:srgbClr val="000000"/>
              </a:solidFill>
              <a:latin typeface="Times New Roman" panose="02020603050405020304" pitchFamily="18" charset="0"/>
              <a:cs typeface="Times New Roman" panose="02020603050405020304" pitchFamily="18" charset="0"/>
            </a:rPr>
            <a:t>Mon Suivi </a:t>
          </a:r>
          <a:r>
            <a:rPr lang="fr-CM" sz="1200" b="1" i="0" u="none" strike="noStrike" baseline="0">
              <a:solidFill>
                <a:schemeClr val="bg1">
                  <a:lumMod val="65000"/>
                </a:schemeClr>
              </a:solidFill>
              <a:latin typeface="Times New Roman" panose="02020603050405020304" pitchFamily="18" charset="0"/>
              <a:cs typeface="Times New Roman" panose="02020603050405020304" pitchFamily="18" charset="0"/>
            </a:rPr>
            <a:t>Financier</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577524</xdr:colOff>
      <xdr:row>1</xdr:row>
      <xdr:rowOff>69822</xdr:rowOff>
    </xdr:from>
    <xdr:to>
      <xdr:col>4</xdr:col>
      <xdr:colOff>152400</xdr:colOff>
      <xdr:row>2</xdr:row>
      <xdr:rowOff>170478</xdr:rowOff>
    </xdr:to>
    <xdr:sp macro="" textlink="">
      <xdr:nvSpPr>
        <xdr:cNvPr id="9" name="Rectangle: Rounded Corners 8">
          <a:extLst>
            <a:ext uri="{FF2B5EF4-FFF2-40B4-BE49-F238E27FC236}">
              <a16:creationId xmlns:a16="http://schemas.microsoft.com/office/drawing/2014/main" id="{81EBF590-0FD6-435E-89FE-45A98DA02B7C}"/>
            </a:ext>
          </a:extLst>
        </xdr:cNvPr>
        <xdr:cNvSpPr/>
      </xdr:nvSpPr>
      <xdr:spPr>
        <a:xfrm>
          <a:off x="4859964" y="252702"/>
          <a:ext cx="1411296" cy="283536"/>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4</xdr:col>
      <xdr:colOff>545451</xdr:colOff>
      <xdr:row>1</xdr:row>
      <xdr:rowOff>83822</xdr:rowOff>
    </xdr:from>
    <xdr:to>
      <xdr:col>4</xdr:col>
      <xdr:colOff>1528962</xdr:colOff>
      <xdr:row>3</xdr:row>
      <xdr:rowOff>1598</xdr:rowOff>
    </xdr:to>
    <xdr:sp macro="" textlink="">
      <xdr:nvSpPr>
        <xdr:cNvPr id="11" name="Rectangle: Rounded Corners 10">
          <a:extLst>
            <a:ext uri="{FF2B5EF4-FFF2-40B4-BE49-F238E27FC236}">
              <a16:creationId xmlns:a16="http://schemas.microsoft.com/office/drawing/2014/main" id="{87BC6C85-8A79-4FED-B8AF-71780EBBCF0C}"/>
            </a:ext>
          </a:extLst>
        </xdr:cNvPr>
        <xdr:cNvSpPr/>
      </xdr:nvSpPr>
      <xdr:spPr>
        <a:xfrm>
          <a:off x="6664311" y="266702"/>
          <a:ext cx="983511"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2</xdr:col>
      <xdr:colOff>902350</xdr:colOff>
      <xdr:row>1</xdr:row>
      <xdr:rowOff>57062</xdr:rowOff>
    </xdr:from>
    <xdr:to>
      <xdr:col>3</xdr:col>
      <xdr:colOff>121920</xdr:colOff>
      <xdr:row>2</xdr:row>
      <xdr:rowOff>100833</xdr:rowOff>
    </xdr:to>
    <xdr:grpSp>
      <xdr:nvGrpSpPr>
        <xdr:cNvPr id="19" name="Group 18">
          <a:hlinkClick xmlns:r="http://schemas.openxmlformats.org/officeDocument/2006/relationships" r:id="rId2"/>
          <a:extLst>
            <a:ext uri="{FF2B5EF4-FFF2-40B4-BE49-F238E27FC236}">
              <a16:creationId xmlns:a16="http://schemas.microsoft.com/office/drawing/2014/main" id="{6E552FE2-C5D8-B68F-3F76-1D0EFD9B8268}"/>
            </a:ext>
          </a:extLst>
        </xdr:cNvPr>
        <xdr:cNvGrpSpPr/>
      </xdr:nvGrpSpPr>
      <xdr:grpSpPr>
        <a:xfrm>
          <a:off x="3342959" y="244801"/>
          <a:ext cx="1052787" cy="231510"/>
          <a:chOff x="3348370" y="239942"/>
          <a:chExt cx="1055990" cy="226651"/>
        </a:xfrm>
      </xdr:grpSpPr>
      <xdr:sp macro="" textlink="">
        <xdr:nvSpPr>
          <xdr:cNvPr id="8" name="Text Box 2">
            <a:extLst>
              <a:ext uri="{FF2B5EF4-FFF2-40B4-BE49-F238E27FC236}">
                <a16:creationId xmlns:a16="http://schemas.microsoft.com/office/drawing/2014/main" id="{61D42081-76E0-48DC-B6C0-AC1FDE3838C8}"/>
              </a:ext>
            </a:extLst>
          </xdr:cNvPr>
          <xdr:cNvSpPr txBox="1">
            <a:spLocks noChangeArrowheads="1"/>
          </xdr:cNvSpPr>
        </xdr:nvSpPr>
        <xdr:spPr bwMode="auto">
          <a:xfrm>
            <a:off x="3550918" y="239942"/>
            <a:ext cx="853442" cy="209637"/>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rPr>
              <a:t>Dasboard</a:t>
            </a:r>
            <a:endParaRPr lang="fr-CM" sz="11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endParaRPr>
          </a:p>
        </xdr:txBody>
      </xdr:sp>
      <xdr:pic>
        <xdr:nvPicPr>
          <xdr:cNvPr id="13" name="Picture 12">
            <a:extLst>
              <a:ext uri="{FF2B5EF4-FFF2-40B4-BE49-F238E27FC236}">
                <a16:creationId xmlns:a16="http://schemas.microsoft.com/office/drawing/2014/main" id="{6A782D1A-AA9B-4B0D-BA40-DD0398C2233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3348370" y="298245"/>
            <a:ext cx="168348" cy="168348"/>
          </a:xfrm>
          <a:prstGeom prst="rect">
            <a:avLst/>
          </a:prstGeom>
        </xdr:spPr>
      </xdr:pic>
    </xdr:grpSp>
    <xdr:clientData/>
  </xdr:twoCellAnchor>
  <xdr:twoCellAnchor>
    <xdr:from>
      <xdr:col>4</xdr:col>
      <xdr:colOff>678359</xdr:colOff>
      <xdr:row>1</xdr:row>
      <xdr:rowOff>92684</xdr:rowOff>
    </xdr:from>
    <xdr:to>
      <xdr:col>4</xdr:col>
      <xdr:colOff>1638300</xdr:colOff>
      <xdr:row>2</xdr:row>
      <xdr:rowOff>152400</xdr:rowOff>
    </xdr:to>
    <xdr:grpSp>
      <xdr:nvGrpSpPr>
        <xdr:cNvPr id="17" name="Group 16">
          <a:hlinkClick xmlns:r="http://schemas.openxmlformats.org/officeDocument/2006/relationships" r:id="rId4"/>
          <a:extLst>
            <a:ext uri="{FF2B5EF4-FFF2-40B4-BE49-F238E27FC236}">
              <a16:creationId xmlns:a16="http://schemas.microsoft.com/office/drawing/2014/main" id="{52A41475-FC44-451F-1753-303B559E09F6}"/>
            </a:ext>
          </a:extLst>
        </xdr:cNvPr>
        <xdr:cNvGrpSpPr/>
      </xdr:nvGrpSpPr>
      <xdr:grpSpPr>
        <a:xfrm>
          <a:off x="6785402" y="280423"/>
          <a:ext cx="959941" cy="247455"/>
          <a:chOff x="6797219" y="275564"/>
          <a:chExt cx="959941" cy="242596"/>
        </a:xfrm>
      </xdr:grpSpPr>
      <xdr:sp macro="" textlink="">
        <xdr:nvSpPr>
          <xdr:cNvPr id="12" name="Text Box 2">
            <a:extLst>
              <a:ext uri="{FF2B5EF4-FFF2-40B4-BE49-F238E27FC236}">
                <a16:creationId xmlns:a16="http://schemas.microsoft.com/office/drawing/2014/main" id="{122B1712-6878-47A0-883A-95094ACFD359}"/>
              </a:ext>
            </a:extLst>
          </xdr:cNvPr>
          <xdr:cNvSpPr txBox="1">
            <a:spLocks noChangeArrowheads="1"/>
          </xdr:cNvSpPr>
        </xdr:nvSpPr>
        <xdr:spPr bwMode="auto">
          <a:xfrm>
            <a:off x="7027590" y="275564"/>
            <a:ext cx="729570" cy="242596"/>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cs typeface="Times New Roman" panose="02020603050405020304" pitchFamily="18" charset="0"/>
              </a:rPr>
              <a:t>Budjet</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pic>
        <xdr:nvPicPr>
          <xdr:cNvPr id="14" name="Picture 13">
            <a:extLst>
              <a:ext uri="{FF2B5EF4-FFF2-40B4-BE49-F238E27FC236}">
                <a16:creationId xmlns:a16="http://schemas.microsoft.com/office/drawing/2014/main" id="{F3BBF705-AF9B-4C70-B9A1-7B95E380186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97219" y="302143"/>
            <a:ext cx="177208" cy="177208"/>
          </a:xfrm>
          <a:prstGeom prst="rect">
            <a:avLst/>
          </a:prstGeom>
        </xdr:spPr>
      </xdr:pic>
    </xdr:grpSp>
    <xdr:clientData/>
  </xdr:twoCellAnchor>
  <xdr:twoCellAnchor>
    <xdr:from>
      <xdr:col>3</xdr:col>
      <xdr:colOff>700944</xdr:colOff>
      <xdr:row>1</xdr:row>
      <xdr:rowOff>78685</xdr:rowOff>
    </xdr:from>
    <xdr:to>
      <xdr:col>4</xdr:col>
      <xdr:colOff>91440</xdr:colOff>
      <xdr:row>2</xdr:row>
      <xdr:rowOff>108451</xdr:rowOff>
    </xdr:to>
    <xdr:grpSp>
      <xdr:nvGrpSpPr>
        <xdr:cNvPr id="18" name="Group 17">
          <a:hlinkClick xmlns:r="http://schemas.openxmlformats.org/officeDocument/2006/relationships" r:id="rId6"/>
          <a:extLst>
            <a:ext uri="{FF2B5EF4-FFF2-40B4-BE49-F238E27FC236}">
              <a16:creationId xmlns:a16="http://schemas.microsoft.com/office/drawing/2014/main" id="{BA380369-11FD-A93E-4B23-203AE4D2275F}"/>
            </a:ext>
          </a:extLst>
        </xdr:cNvPr>
        <xdr:cNvGrpSpPr/>
      </xdr:nvGrpSpPr>
      <xdr:grpSpPr>
        <a:xfrm>
          <a:off x="4974770" y="266424"/>
          <a:ext cx="1223713" cy="217505"/>
          <a:chOff x="4983384" y="261565"/>
          <a:chExt cx="1226916" cy="212646"/>
        </a:xfrm>
      </xdr:grpSpPr>
      <xdr:sp macro="" textlink="">
        <xdr:nvSpPr>
          <xdr:cNvPr id="10" name="Text Box 2">
            <a:extLst>
              <a:ext uri="{FF2B5EF4-FFF2-40B4-BE49-F238E27FC236}">
                <a16:creationId xmlns:a16="http://schemas.microsoft.com/office/drawing/2014/main" id="{EFC5F3FB-A2C5-4E74-BDE0-E547D63BF7FF}"/>
              </a:ext>
            </a:extLst>
          </xdr:cNvPr>
          <xdr:cNvSpPr txBox="1">
            <a:spLocks noChangeArrowheads="1"/>
          </xdr:cNvSpPr>
        </xdr:nvSpPr>
        <xdr:spPr bwMode="auto">
          <a:xfrm>
            <a:off x="5214382" y="261565"/>
            <a:ext cx="995918" cy="210876"/>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accent4">
                    <a:lumMod val="60000"/>
                    <a:lumOff val="40000"/>
                  </a:schemeClr>
                </a:solidFill>
                <a:latin typeface="Times New Roman" panose="02020603050405020304" pitchFamily="18" charset="0"/>
                <a:ea typeface="+mn-ea"/>
                <a:cs typeface="Times New Roman" panose="02020603050405020304" pitchFamily="18" charset="0"/>
              </a:rPr>
              <a:t>Transaction</a:t>
            </a:r>
          </a:p>
        </xdr:txBody>
      </xdr:sp>
      <xdr:pic>
        <xdr:nvPicPr>
          <xdr:cNvPr id="15" name="Picture 14">
            <a:extLst>
              <a:ext uri="{FF2B5EF4-FFF2-40B4-BE49-F238E27FC236}">
                <a16:creationId xmlns:a16="http://schemas.microsoft.com/office/drawing/2014/main" id="{E4A738D3-93FF-4D3A-88F6-EF3D3A1995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4983384" y="287514"/>
            <a:ext cx="186697" cy="186697"/>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2</xdr:row>
      <xdr:rowOff>135918</xdr:rowOff>
    </xdr:from>
    <xdr:to>
      <xdr:col>28</xdr:col>
      <xdr:colOff>419632</xdr:colOff>
      <xdr:row>3</xdr:row>
      <xdr:rowOff>2481</xdr:rowOff>
    </xdr:to>
    <xdr:cxnSp macro="">
      <xdr:nvCxnSpPr>
        <xdr:cNvPr id="15" name="Straight Connector 14">
          <a:extLst>
            <a:ext uri="{FF2B5EF4-FFF2-40B4-BE49-F238E27FC236}">
              <a16:creationId xmlns:a16="http://schemas.microsoft.com/office/drawing/2014/main" id="{12EB9C9C-A3DB-4BCD-B5E0-9CDC8C825A66}"/>
            </a:ext>
          </a:extLst>
        </xdr:cNvPr>
        <xdr:cNvCxnSpPr/>
      </xdr:nvCxnSpPr>
      <xdr:spPr>
        <a:xfrm>
          <a:off x="76200" y="501678"/>
          <a:ext cx="23272012" cy="49443"/>
        </a:xfrm>
        <a:prstGeom prst="line">
          <a:avLst/>
        </a:prstGeom>
        <a:ln>
          <a:solidFill>
            <a:schemeClr val="bg2"/>
          </a:solidFill>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xdr:col>
      <xdr:colOff>30356</xdr:colOff>
      <xdr:row>1</xdr:row>
      <xdr:rowOff>16747</xdr:rowOff>
    </xdr:from>
    <xdr:to>
      <xdr:col>1</xdr:col>
      <xdr:colOff>243008</xdr:colOff>
      <xdr:row>2</xdr:row>
      <xdr:rowOff>41516</xdr:rowOff>
    </xdr:to>
    <xdr:pic>
      <xdr:nvPicPr>
        <xdr:cNvPr id="16" name="Picture 15">
          <a:extLst>
            <a:ext uri="{FF2B5EF4-FFF2-40B4-BE49-F238E27FC236}">
              <a16:creationId xmlns:a16="http://schemas.microsoft.com/office/drawing/2014/main" id="{BD01FDF3-98A2-4912-A0AD-662BF4A6FA27}"/>
            </a:ext>
          </a:extLst>
        </xdr:cNvPr>
        <xdr:cNvPicPr>
          <a:picLocks noChangeAspect="1"/>
        </xdr:cNvPicPr>
      </xdr:nvPicPr>
      <xdr:blipFill>
        <a:blip xmlns:r="http://schemas.openxmlformats.org/officeDocument/2006/relationships" r:embed="rId1"/>
        <a:stretch>
          <a:fillRect/>
        </a:stretch>
      </xdr:blipFill>
      <xdr:spPr>
        <a:xfrm>
          <a:off x="636997" y="201698"/>
          <a:ext cx="212652" cy="209721"/>
        </a:xfrm>
        <a:prstGeom prst="rect">
          <a:avLst/>
        </a:prstGeom>
        <a:ln>
          <a:noFill/>
        </a:ln>
      </xdr:spPr>
    </xdr:pic>
    <xdr:clientData/>
  </xdr:twoCellAnchor>
  <xdr:twoCellAnchor>
    <xdr:from>
      <xdr:col>1</xdr:col>
      <xdr:colOff>216427</xdr:colOff>
      <xdr:row>0</xdr:row>
      <xdr:rowOff>128742</xdr:rowOff>
    </xdr:from>
    <xdr:to>
      <xdr:col>3</xdr:col>
      <xdr:colOff>85647</xdr:colOff>
      <xdr:row>2</xdr:row>
      <xdr:rowOff>64239</xdr:rowOff>
    </xdr:to>
    <xdr:sp macro="" textlink="">
      <xdr:nvSpPr>
        <xdr:cNvPr id="17" name="Text Box 1">
          <a:extLst>
            <a:ext uri="{FF2B5EF4-FFF2-40B4-BE49-F238E27FC236}">
              <a16:creationId xmlns:a16="http://schemas.microsoft.com/office/drawing/2014/main" id="{25C40BBA-5AC5-4BB9-9A6E-67FE91D150E9}"/>
            </a:ext>
          </a:extLst>
        </xdr:cNvPr>
        <xdr:cNvSpPr txBox="1">
          <a:spLocks noChangeArrowheads="1"/>
        </xdr:cNvSpPr>
      </xdr:nvSpPr>
      <xdr:spPr bwMode="auto">
        <a:xfrm>
          <a:off x="823068" y="128742"/>
          <a:ext cx="1896288" cy="305400"/>
        </a:xfrm>
        <a:prstGeom prst="rect">
          <a:avLst/>
        </a:prstGeom>
        <a:noFill/>
        <a:ln w="9525">
          <a:noFill/>
          <a:miter lim="800000"/>
          <a:headEnd/>
          <a:tailEnd/>
        </a:ln>
      </xdr:spPr>
      <xdr:txBody>
        <a:bodyPr vertOverflow="clip" wrap="square" lIns="27432" tIns="27432" rIns="0" bIns="0" anchor="t" upright="1"/>
        <a:lstStyle/>
        <a:p>
          <a:pPr algn="ctr" rtl="0">
            <a:defRPr sz="1000"/>
          </a:pPr>
          <a:r>
            <a:rPr lang="fr-CM" sz="1800" b="1" i="0" u="none" strike="noStrike" baseline="0">
              <a:solidFill>
                <a:srgbClr val="000000"/>
              </a:solidFill>
              <a:latin typeface="Times New Roman" panose="02020603050405020304" pitchFamily="18" charset="0"/>
              <a:cs typeface="Times New Roman" panose="02020603050405020304" pitchFamily="18" charset="0"/>
            </a:rPr>
            <a:t>Mon Suivi </a:t>
          </a:r>
          <a:r>
            <a:rPr lang="fr-CM" sz="1200" b="1" i="0" u="none" strike="noStrike" baseline="0">
              <a:solidFill>
                <a:schemeClr val="bg1">
                  <a:lumMod val="65000"/>
                </a:schemeClr>
              </a:solidFill>
              <a:latin typeface="Times New Roman" panose="02020603050405020304" pitchFamily="18" charset="0"/>
              <a:cs typeface="Times New Roman" panose="02020603050405020304" pitchFamily="18" charset="0"/>
            </a:rPr>
            <a:t>Financier</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854718</xdr:colOff>
      <xdr:row>0</xdr:row>
      <xdr:rowOff>123159</xdr:rowOff>
    </xdr:from>
    <xdr:to>
      <xdr:col>4</xdr:col>
      <xdr:colOff>1001233</xdr:colOff>
      <xdr:row>2</xdr:row>
      <xdr:rowOff>26581</xdr:rowOff>
    </xdr:to>
    <xdr:grpSp>
      <xdr:nvGrpSpPr>
        <xdr:cNvPr id="27" name="Group 26">
          <a:hlinkClick xmlns:r="http://schemas.openxmlformats.org/officeDocument/2006/relationships" r:id="rId2"/>
          <a:extLst>
            <a:ext uri="{FF2B5EF4-FFF2-40B4-BE49-F238E27FC236}">
              <a16:creationId xmlns:a16="http://schemas.microsoft.com/office/drawing/2014/main" id="{47CF2076-9B2B-7423-AE40-5F217D053054}"/>
            </a:ext>
          </a:extLst>
        </xdr:cNvPr>
        <xdr:cNvGrpSpPr/>
      </xdr:nvGrpSpPr>
      <xdr:grpSpPr>
        <a:xfrm>
          <a:off x="3486276" y="123159"/>
          <a:ext cx="1156608" cy="275562"/>
          <a:chOff x="3486276" y="123159"/>
          <a:chExt cx="1156608" cy="275562"/>
        </a:xfrm>
      </xdr:grpSpPr>
      <xdr:sp macro="" textlink="">
        <xdr:nvSpPr>
          <xdr:cNvPr id="14" name="Rectangle: Rounded Corners 13">
            <a:extLst>
              <a:ext uri="{FF2B5EF4-FFF2-40B4-BE49-F238E27FC236}">
                <a16:creationId xmlns:a16="http://schemas.microsoft.com/office/drawing/2014/main" id="{BACEE063-77F2-4FE9-970A-23D178C4C6F0}"/>
              </a:ext>
            </a:extLst>
          </xdr:cNvPr>
          <xdr:cNvSpPr/>
        </xdr:nvSpPr>
        <xdr:spPr>
          <a:xfrm>
            <a:off x="3486276" y="123159"/>
            <a:ext cx="1112305" cy="27556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sp macro="" textlink="">
        <xdr:nvSpPr>
          <xdr:cNvPr id="18" name="Text Box 2">
            <a:extLst>
              <a:ext uri="{FF2B5EF4-FFF2-40B4-BE49-F238E27FC236}">
                <a16:creationId xmlns:a16="http://schemas.microsoft.com/office/drawing/2014/main" id="{FED7EA7B-2210-4A37-8FF0-D62A2E7A9698}"/>
              </a:ext>
            </a:extLst>
          </xdr:cNvPr>
          <xdr:cNvSpPr txBox="1">
            <a:spLocks noChangeArrowheads="1"/>
          </xdr:cNvSpPr>
        </xdr:nvSpPr>
        <xdr:spPr bwMode="auto">
          <a:xfrm>
            <a:off x="3764906" y="127633"/>
            <a:ext cx="877978" cy="235645"/>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rPr>
              <a:t>Dashboard</a:t>
            </a:r>
            <a:endParaRPr lang="fr-CM" sz="11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5</xdr:col>
      <xdr:colOff>576045</xdr:colOff>
      <xdr:row>0</xdr:row>
      <xdr:rowOff>136716</xdr:rowOff>
    </xdr:from>
    <xdr:to>
      <xdr:col>6</xdr:col>
      <xdr:colOff>873934</xdr:colOff>
      <xdr:row>2</xdr:row>
      <xdr:rowOff>54492</xdr:rowOff>
    </xdr:to>
    <xdr:sp macro="" textlink="">
      <xdr:nvSpPr>
        <xdr:cNvPr id="19" name="Rectangle: Rounded Corners 18">
          <a:extLst>
            <a:ext uri="{FF2B5EF4-FFF2-40B4-BE49-F238E27FC236}">
              <a16:creationId xmlns:a16="http://schemas.microsoft.com/office/drawing/2014/main" id="{C35F126B-A4C8-471E-99A1-233484CC172E}"/>
            </a:ext>
          </a:extLst>
        </xdr:cNvPr>
        <xdr:cNvSpPr/>
      </xdr:nvSpPr>
      <xdr:spPr>
        <a:xfrm>
          <a:off x="5236822" y="136716"/>
          <a:ext cx="1311423" cy="28767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7</xdr:col>
      <xdr:colOff>479238</xdr:colOff>
      <xdr:row>0</xdr:row>
      <xdr:rowOff>150716</xdr:rowOff>
    </xdr:from>
    <xdr:to>
      <xdr:col>8</xdr:col>
      <xdr:colOff>449289</xdr:colOff>
      <xdr:row>2</xdr:row>
      <xdr:rowOff>68492</xdr:rowOff>
    </xdr:to>
    <xdr:sp macro="" textlink="">
      <xdr:nvSpPr>
        <xdr:cNvPr id="21" name="Rectangle: Rounded Corners 20">
          <a:extLst>
            <a:ext uri="{FF2B5EF4-FFF2-40B4-BE49-F238E27FC236}">
              <a16:creationId xmlns:a16="http://schemas.microsoft.com/office/drawing/2014/main" id="{0CC002FD-879B-48D6-9DD1-3DFA15D784C5}"/>
            </a:ext>
          </a:extLst>
        </xdr:cNvPr>
        <xdr:cNvSpPr/>
      </xdr:nvSpPr>
      <xdr:spPr>
        <a:xfrm>
          <a:off x="7167083" y="150716"/>
          <a:ext cx="983585" cy="287679"/>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editAs="oneCell">
    <xdr:from>
      <xdr:col>3</xdr:col>
      <xdr:colOff>899021</xdr:colOff>
      <xdr:row>0</xdr:row>
      <xdr:rowOff>167463</xdr:rowOff>
    </xdr:from>
    <xdr:to>
      <xdr:col>4</xdr:col>
      <xdr:colOff>53835</xdr:colOff>
      <xdr:row>1</xdr:row>
      <xdr:rowOff>152931</xdr:rowOff>
    </xdr:to>
    <xdr:pic>
      <xdr:nvPicPr>
        <xdr:cNvPr id="23" name="Picture 22">
          <a:extLst>
            <a:ext uri="{FF2B5EF4-FFF2-40B4-BE49-F238E27FC236}">
              <a16:creationId xmlns:a16="http://schemas.microsoft.com/office/drawing/2014/main" id="{6615E8FC-2032-4C38-9E7B-08CC4CFA63F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3532730" y="167463"/>
          <a:ext cx="168348" cy="170419"/>
        </a:xfrm>
        <a:prstGeom prst="rect">
          <a:avLst/>
        </a:prstGeom>
      </xdr:spPr>
    </xdr:pic>
    <xdr:clientData/>
  </xdr:twoCellAnchor>
  <xdr:twoCellAnchor>
    <xdr:from>
      <xdr:col>7</xdr:col>
      <xdr:colOff>612146</xdr:colOff>
      <xdr:row>0</xdr:row>
      <xdr:rowOff>159578</xdr:rowOff>
    </xdr:from>
    <xdr:to>
      <xdr:col>8</xdr:col>
      <xdr:colOff>443087</xdr:colOff>
      <xdr:row>2</xdr:row>
      <xdr:rowOff>4398</xdr:rowOff>
    </xdr:to>
    <xdr:grpSp>
      <xdr:nvGrpSpPr>
        <xdr:cNvPr id="28" name="Group 27">
          <a:hlinkClick xmlns:r="http://schemas.openxmlformats.org/officeDocument/2006/relationships" r:id="rId4"/>
          <a:extLst>
            <a:ext uri="{FF2B5EF4-FFF2-40B4-BE49-F238E27FC236}">
              <a16:creationId xmlns:a16="http://schemas.microsoft.com/office/drawing/2014/main" id="{91CE53A1-9411-7028-90A6-A4E699939994}"/>
            </a:ext>
          </a:extLst>
        </xdr:cNvPr>
        <xdr:cNvGrpSpPr/>
      </xdr:nvGrpSpPr>
      <xdr:grpSpPr>
        <a:xfrm>
          <a:off x="7284076" y="159578"/>
          <a:ext cx="841034" cy="216960"/>
          <a:chOff x="7284076" y="159578"/>
          <a:chExt cx="841034" cy="216960"/>
        </a:xfrm>
      </xdr:grpSpPr>
      <xdr:sp macro="" textlink="">
        <xdr:nvSpPr>
          <xdr:cNvPr id="22" name="Text Box 2">
            <a:extLst>
              <a:ext uri="{FF2B5EF4-FFF2-40B4-BE49-F238E27FC236}">
                <a16:creationId xmlns:a16="http://schemas.microsoft.com/office/drawing/2014/main" id="{01CDD8EE-7068-47B0-B9A4-84CD9F3D7821}"/>
              </a:ext>
            </a:extLst>
          </xdr:cNvPr>
          <xdr:cNvSpPr txBox="1">
            <a:spLocks noChangeArrowheads="1"/>
          </xdr:cNvSpPr>
        </xdr:nvSpPr>
        <xdr:spPr bwMode="auto">
          <a:xfrm>
            <a:off x="7514447" y="159578"/>
            <a:ext cx="610663" cy="216960"/>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accent4">
                    <a:lumMod val="60000"/>
                    <a:lumOff val="40000"/>
                  </a:schemeClr>
                </a:solidFill>
                <a:latin typeface="Times New Roman" panose="02020603050405020304" pitchFamily="18" charset="0"/>
                <a:ea typeface="+mn-ea"/>
                <a:cs typeface="Times New Roman" panose="02020603050405020304" pitchFamily="18" charset="0"/>
              </a:rPr>
              <a:t>Budjet</a:t>
            </a:r>
          </a:p>
        </xdr:txBody>
      </xdr:sp>
      <xdr:pic>
        <xdr:nvPicPr>
          <xdr:cNvPr id="24" name="Picture 23">
            <a:extLst>
              <a:ext uri="{FF2B5EF4-FFF2-40B4-BE49-F238E27FC236}">
                <a16:creationId xmlns:a16="http://schemas.microsoft.com/office/drawing/2014/main" id="{9525FE2C-7B10-4372-BBB6-3B54D43E18E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7284076" y="188311"/>
            <a:ext cx="177208" cy="177208"/>
          </a:xfrm>
          <a:prstGeom prst="rect">
            <a:avLst/>
          </a:prstGeom>
        </xdr:spPr>
      </xdr:pic>
    </xdr:grpSp>
    <xdr:clientData/>
  </xdr:twoCellAnchor>
  <xdr:twoCellAnchor>
    <xdr:from>
      <xdr:col>5</xdr:col>
      <xdr:colOff>699465</xdr:colOff>
      <xdr:row>0</xdr:row>
      <xdr:rowOff>145578</xdr:rowOff>
    </xdr:from>
    <xdr:to>
      <xdr:col>6</xdr:col>
      <xdr:colOff>921488</xdr:colOff>
      <xdr:row>2</xdr:row>
      <xdr:rowOff>17720</xdr:rowOff>
    </xdr:to>
    <xdr:grpSp>
      <xdr:nvGrpSpPr>
        <xdr:cNvPr id="26" name="Group 25">
          <a:hlinkClick xmlns:r="http://schemas.openxmlformats.org/officeDocument/2006/relationships" r:id="rId6"/>
          <a:extLst>
            <a:ext uri="{FF2B5EF4-FFF2-40B4-BE49-F238E27FC236}">
              <a16:creationId xmlns:a16="http://schemas.microsoft.com/office/drawing/2014/main" id="{692655C7-44DD-CB88-10CA-982CF9C5D0D6}"/>
            </a:ext>
          </a:extLst>
        </xdr:cNvPr>
        <xdr:cNvGrpSpPr/>
      </xdr:nvGrpSpPr>
      <xdr:grpSpPr>
        <a:xfrm>
          <a:off x="5351209" y="145578"/>
          <a:ext cx="1232116" cy="244282"/>
          <a:chOff x="5351209" y="145578"/>
          <a:chExt cx="1232116" cy="244282"/>
        </a:xfrm>
      </xdr:grpSpPr>
      <xdr:sp macro="" textlink="">
        <xdr:nvSpPr>
          <xdr:cNvPr id="20" name="Text Box 2">
            <a:extLst>
              <a:ext uri="{FF2B5EF4-FFF2-40B4-BE49-F238E27FC236}">
                <a16:creationId xmlns:a16="http://schemas.microsoft.com/office/drawing/2014/main" id="{C11E4F09-F453-4C3A-9EF5-45865D29B5BA}"/>
              </a:ext>
            </a:extLst>
          </xdr:cNvPr>
          <xdr:cNvSpPr txBox="1">
            <a:spLocks noChangeArrowheads="1"/>
          </xdr:cNvSpPr>
        </xdr:nvSpPr>
        <xdr:spPr bwMode="auto">
          <a:xfrm>
            <a:off x="5582206" y="145578"/>
            <a:ext cx="1001119" cy="244282"/>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rPr>
              <a:t>Transaction</a:t>
            </a:r>
          </a:p>
        </xdr:txBody>
      </xdr:sp>
      <xdr:pic>
        <xdr:nvPicPr>
          <xdr:cNvPr id="25" name="Picture 24">
            <a:extLst>
              <a:ext uri="{FF2B5EF4-FFF2-40B4-BE49-F238E27FC236}">
                <a16:creationId xmlns:a16="http://schemas.microsoft.com/office/drawing/2014/main" id="{C49CB373-F217-4B3E-B3F0-FA2E60143B5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5351209" y="172563"/>
            <a:ext cx="186697" cy="187816"/>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euzem alexandra" refreshedDate="45861.713231828704" createdVersion="8" refreshedVersion="8" minRefreshableVersion="3" recordCount="13" xr:uid="{3F37F3E2-51C1-4646-9892-F26FE724BF14}">
  <cacheSource type="worksheet">
    <worksheetSource ref="K70:K83" sheet="Liste"/>
  </cacheSource>
  <cacheFields count="1">
    <cacheField name="Mois" numFmtId="0">
      <sharedItems count="13">
        <s v="Janvier"/>
        <s v="Février"/>
        <s v="Mars"/>
        <s v="Avril"/>
        <s v="Mai"/>
        <s v="Juin"/>
        <s v="Juillet"/>
        <s v="Août"/>
        <s v="Septembre"/>
        <s v="Octobre"/>
        <s v="Novembre"/>
        <s v="Décembre"/>
        <s v="Tous les mois"/>
      </sharedItems>
    </cacheField>
  </cacheFields>
  <extLst>
    <ext xmlns:x14="http://schemas.microsoft.com/office/spreadsheetml/2009/9/main" uri="{725AE2AE-9491-48be-B2B4-4EB974FC3084}">
      <x14:pivotCacheDefinition pivotCacheId="386725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r>
  <r>
    <x v="1"/>
  </r>
  <r>
    <x v="2"/>
  </r>
  <r>
    <x v="3"/>
  </r>
  <r>
    <x v="4"/>
  </r>
  <r>
    <x v="5"/>
  </r>
  <r>
    <x v="6"/>
  </r>
  <r>
    <x v="7"/>
  </r>
  <r>
    <x v="8"/>
  </r>
  <r>
    <x v="9"/>
  </r>
  <r>
    <x v="10"/>
  </r>
  <r>
    <x v="11"/>
  </r>
  <r>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E0C6B0-9381-445C-8A80-936EB707346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21:M23" firstHeaderRow="1" firstDataRow="1" firstDataCol="1"/>
  <pivotFields count="1">
    <pivotField axis="axisRow" showAll="0">
      <items count="14">
        <item x="0"/>
        <item h="1" x="1"/>
        <item h="1" x="2"/>
        <item h="1" x="3"/>
        <item h="1" x="4"/>
        <item h="1" x="5"/>
        <item h="1" x="6"/>
        <item h="1" x="7"/>
        <item h="1" x="8"/>
        <item h="1" x="9"/>
        <item h="1" x="10"/>
        <item h="1" x="11"/>
        <item h="1" x="12"/>
        <item t="default"/>
      </items>
    </pivotField>
  </pivotFields>
  <rowFields count="1">
    <field x="0"/>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 xr10:uid="{90EABED4-BDC7-4CDA-92AE-F9534D490862}" sourceName="Mois">
  <pivotTables>
    <pivotTable tabId="4" name="PivotTable1"/>
  </pivotTables>
  <data>
    <tabular pivotCacheId="386725760">
      <items count="13">
        <i x="0" s="1"/>
        <i x="1"/>
        <i x="2"/>
        <i x="3"/>
        <i x="4"/>
        <i x="5"/>
        <i x="6"/>
        <i x="7"/>
        <i x="8"/>
        <i x="9"/>
        <i x="10"/>
        <i x="11"/>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is" xr10:uid="{11AF5CD6-9220-4980-8A94-5968FD5DE43B}" cache="Slicer_Mois" caption="Mois" columnCount="13" style="Slicer Style 1"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503AD1-002F-43C6-A0EF-2DD969C61C2F}" name="Transaction" displayName="Transaction" ref="B11:F42" totalsRowCount="1" headerRowDxfId="168" dataDxfId="166" headerRowBorderDxfId="167" tableBorderDxfId="165">
  <autoFilter ref="B11:F41" xr:uid="{F2503AD1-002F-43C6-A0EF-2DD969C61C2F}"/>
  <sortState xmlns:xlrd2="http://schemas.microsoft.com/office/spreadsheetml/2017/richdata2" ref="B12:F41">
    <sortCondition descending="1" ref="B11:B41"/>
  </sortState>
  <tableColumns count="5">
    <tableColumn id="1" xr3:uid="{E641AA5B-11BC-49ED-BDC0-989211A1F8BB}" name="Date" totalsRowLabel="Total" dataDxfId="164" totalsRowDxfId="4"/>
    <tableColumn id="2" xr3:uid="{E3A280E4-0101-4B16-8140-0FAAE4F4EEB0}" name="Type" dataDxfId="163" totalsRowDxfId="3"/>
    <tableColumn id="3" xr3:uid="{FED5606E-3677-4F8A-8EB1-808DA89B983D}" name="Catégorie" dataDxfId="162" totalsRowDxfId="2"/>
    <tableColumn id="4" xr3:uid="{30A0782E-4778-402A-92D0-C0F331A63AF7}" name="Montant" totalsRowFunction="sum" dataDxfId="161" totalsRowDxfId="1"/>
    <tableColumn id="5" xr3:uid="{1794AAC7-53DD-4429-96F5-58CF766DB506}" name="Commentaire" dataDxfId="160" totalsRowDxfId="0"/>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C8D2A7-C3B6-4F0B-BBF5-5C32150A6DE0}" name="Revenu_budget" displayName="Revenu_budget" ref="B5:O10" totalsRowCount="1" headerRowDxfId="159" dataDxfId="158" tableBorderDxfId="157">
  <autoFilter ref="B5:O9" xr:uid="{4BC8D2A7-C3B6-4F0B-BBF5-5C32150A6DE0}"/>
  <tableColumns count="14">
    <tableColumn id="1" xr3:uid="{A7866B69-07D0-45EE-9A1D-065FE2A43ADA}" name="Revenu" totalsRowLabel="Total" dataDxfId="156" totalsRowDxfId="155"/>
    <tableColumn id="2" xr3:uid="{819A563F-3676-476D-8345-A63C9DDD47E5}" name="Janvier" totalsRowFunction="sum" dataDxfId="154" totalsRowDxfId="153"/>
    <tableColumn id="3" xr3:uid="{A5D5553A-BC88-45EF-BCC5-F975093B7F65}" name="Février" totalsRowFunction="sum" dataDxfId="152" totalsRowDxfId="151"/>
    <tableColumn id="4" xr3:uid="{8C069EF1-417D-4C6F-ADF3-4ABC68B5B540}" name="Mars" totalsRowFunction="sum" dataDxfId="150" totalsRowDxfId="149"/>
    <tableColumn id="5" xr3:uid="{5CCFB29F-7995-4AB1-809C-3CE807925984}" name="Avril" totalsRowFunction="sum" dataDxfId="148" totalsRowDxfId="147"/>
    <tableColumn id="6" xr3:uid="{8F4C1999-FC71-49F9-8966-97F8F17F8ADD}" name="Mai" totalsRowFunction="sum" dataDxfId="146" totalsRowDxfId="145"/>
    <tableColumn id="7" xr3:uid="{B19B835D-236E-4C78-BB0A-D40678128C6B}" name="Juin" totalsRowFunction="sum" dataDxfId="144" totalsRowDxfId="143"/>
    <tableColumn id="8" xr3:uid="{EFCB337C-0D25-4EBC-B8D8-41EF90C95AEC}" name="Juillet" totalsRowFunction="sum" dataDxfId="142" totalsRowDxfId="141"/>
    <tableColumn id="9" xr3:uid="{E7A3E454-2F8F-487D-A546-13DE6CB3909A}" name="Août" totalsRowFunction="sum" dataDxfId="140" totalsRowDxfId="139"/>
    <tableColumn id="10" xr3:uid="{C3EB4EC3-EEA8-492A-9733-E6D335412507}" name="Septembre" totalsRowFunction="sum" dataDxfId="138" totalsRowDxfId="137"/>
    <tableColumn id="11" xr3:uid="{5C7BF551-CA68-4E2A-A09D-04339EA57C83}" name="Octobre" totalsRowFunction="sum" dataDxfId="136" totalsRowDxfId="135"/>
    <tableColumn id="12" xr3:uid="{C6BF7897-84B0-4EEC-ABF4-DD72DF1310AD}" name="Novembre" totalsRowFunction="sum" dataDxfId="134" totalsRowDxfId="133"/>
    <tableColumn id="13" xr3:uid="{25DF1F93-2B31-4412-AE07-9EEE313997F3}" name="Décembre" totalsRowFunction="sum" dataDxfId="132" totalsRowDxfId="131"/>
    <tableColumn id="14" xr3:uid="{1B0877CB-58F6-4CED-9260-F0CE0D9BBE5E}" name="Total" totalsRowFunction="sum" dataDxfId="130" totalsRowDxfId="129">
      <calculatedColumnFormula>SUM(Revenu_budget[[#This Row],[Janvier]:[Décembre]])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72874C-1E33-49EC-98EE-78DD099DE9A2}" name="Dépense_budget" displayName="Dépense_budget" ref="B12:O21" totalsRowCount="1" headerRowDxfId="128" dataDxfId="127" tableBorderDxfId="126">
  <autoFilter ref="B12:O20" xr:uid="{8372874C-1E33-49EC-98EE-78DD099DE9A2}"/>
  <tableColumns count="14">
    <tableColumn id="1" xr3:uid="{F2890BDB-4695-4F19-B3CE-2C606F2503F4}" name="Dépense" totalsRowLabel="Total" dataDxfId="125" totalsRowDxfId="124"/>
    <tableColumn id="2" xr3:uid="{11510517-F636-4E24-AB7E-5C7C166F898A}" name="Janvier" totalsRowFunction="sum" dataDxfId="123" totalsRowDxfId="122"/>
    <tableColumn id="3" xr3:uid="{828E8605-08F9-4B97-A1FD-770F435465F2}" name="Février" totalsRowFunction="sum" dataDxfId="121" totalsRowDxfId="120"/>
    <tableColumn id="4" xr3:uid="{595F0D06-9753-4164-8C42-E1A3DAE698D1}" name="Mars" totalsRowFunction="sum" dataDxfId="119" totalsRowDxfId="118"/>
    <tableColumn id="5" xr3:uid="{1FC5DA22-5C04-4370-A051-683037CC0EB2}" name="Avril" totalsRowFunction="sum" dataDxfId="117" totalsRowDxfId="116"/>
    <tableColumn id="6" xr3:uid="{54D327FD-E380-4C47-915A-623607A0ADA0}" name="Mai" totalsRowFunction="custom" dataDxfId="115" totalsRowDxfId="114">
      <totalsRowFormula>SUBTOTAL(109,Dépense_budget[Février])</totalsRowFormula>
    </tableColumn>
    <tableColumn id="7" xr3:uid="{23123FA2-7D4A-4797-A350-703BB1643A7D}" name="Juin" totalsRowFunction="custom" dataDxfId="113" totalsRowDxfId="112">
      <totalsRowFormula>SUBTOTAL(109,Dépense_budget[Mars])</totalsRowFormula>
    </tableColumn>
    <tableColumn id="8" xr3:uid="{A97C2044-CCD4-445C-9D88-E7654D511C15}" name="Juillet" totalsRowFunction="custom" dataDxfId="111" totalsRowDxfId="110">
      <totalsRowFormula>SUBTOTAL(109,Dépense_budget[Avril])</totalsRowFormula>
    </tableColumn>
    <tableColumn id="9" xr3:uid="{FA9C0052-61FA-4CAD-B3E8-4CD6D6BE17CE}" name="Août" totalsRowFunction="custom" dataDxfId="109" totalsRowDxfId="108">
      <totalsRowFormula>SUBTOTAL(109,Dépense_budget[Mai])</totalsRowFormula>
    </tableColumn>
    <tableColumn id="10" xr3:uid="{88FE06DE-FB11-4D70-947C-8ADFABD36ECE}" name="Septembre" totalsRowFunction="custom" dataDxfId="107" totalsRowDxfId="106">
      <totalsRowFormula>SUBTOTAL(109,Dépense_budget[Mars])</totalsRowFormula>
    </tableColumn>
    <tableColumn id="11" xr3:uid="{3003EA38-BA71-4B4C-88D8-44AA220A43B5}" name="Octobre" totalsRowFunction="custom" dataDxfId="105" totalsRowDxfId="104">
      <totalsRowFormula>SUBTOTAL(109,Dépense_budget[Avril])</totalsRowFormula>
    </tableColumn>
    <tableColumn id="12" xr3:uid="{7618A2E7-DA08-4305-857E-394E11ACF7F6}" name="Novembre" totalsRowFunction="custom" dataDxfId="103" totalsRowDxfId="102">
      <totalsRowFormula>SUBTOTAL(109,Dépense_budget[Février])</totalsRowFormula>
    </tableColumn>
    <tableColumn id="13" xr3:uid="{C6D0D07E-F72F-4536-B5DB-9EF96EB37034}" name="Décembre" totalsRowFunction="custom" dataDxfId="101" totalsRowDxfId="100">
      <totalsRowFormula>SUBTOTAL(109,Dépense_budget[Mars])</totalsRowFormula>
    </tableColumn>
    <tableColumn id="14" xr3:uid="{FEB01EB2-E1AA-4998-B3BD-80A440874141}" name="Total" totalsRowFunction="sum" dataDxfId="99" totalsRowDxfId="98">
      <calculatedColumnFormula>SUM(Dépense_budget[[#This Row],[Janvier]:[Décembre]])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3B2D01-876B-4372-972B-F18D5E48EA35}" name="Facture_budget" displayName="Facture_budget" ref="B23:O29" totalsRowCount="1" headerRowDxfId="97" dataDxfId="96" tableBorderDxfId="95">
  <autoFilter ref="B23:O28" xr:uid="{BF3B2D01-876B-4372-972B-F18D5E48EA35}"/>
  <tableColumns count="14">
    <tableColumn id="1" xr3:uid="{46B30436-8F2E-44E2-A2DC-5DF3E0C355AE}" name="Facture" totalsRowLabel="Total" dataDxfId="94" totalsRowDxfId="93"/>
    <tableColumn id="2" xr3:uid="{7D8C4BCC-5FC0-4526-9000-147522590350}" name="Janvier" totalsRowFunction="sum" dataDxfId="92" totalsRowDxfId="91"/>
    <tableColumn id="3" xr3:uid="{61F7157A-8849-48F0-8691-81471E6BD5FD}" name="Février" totalsRowFunction="sum" dataDxfId="90" totalsRowDxfId="89"/>
    <tableColumn id="4" xr3:uid="{A598FD61-2B60-4F67-A8EF-93BB6D54235C}" name="Mars" totalsRowFunction="sum" dataDxfId="88" totalsRowDxfId="87"/>
    <tableColumn id="5" xr3:uid="{EB603F00-CAEF-4C05-BB1C-D28089A8F9B4}" name="Avril" totalsRowFunction="sum" dataDxfId="86" totalsRowDxfId="85"/>
    <tableColumn id="6" xr3:uid="{96711D76-688D-4671-9567-579522971C17}" name="Mai" totalsRowFunction="sum" dataDxfId="84" totalsRowDxfId="83"/>
    <tableColumn id="7" xr3:uid="{C34ECC77-02BF-4902-84B7-DE8B0D373C11}" name="Juin" totalsRowFunction="sum" dataDxfId="82" totalsRowDxfId="81"/>
    <tableColumn id="8" xr3:uid="{E0AC8786-FF2D-4E1D-ADC0-177EDAB7EF0A}" name="Juillet" totalsRowFunction="sum" dataDxfId="80" totalsRowDxfId="79"/>
    <tableColumn id="9" xr3:uid="{18894957-9F19-49E8-BCC4-A06E42E968C4}" name="Août" totalsRowFunction="sum" dataDxfId="78" totalsRowDxfId="77"/>
    <tableColumn id="10" xr3:uid="{06B68451-D05E-4082-9397-CD735BAA3FFD}" name="Septembre" totalsRowFunction="sum" dataDxfId="76" totalsRowDxfId="75"/>
    <tableColumn id="11" xr3:uid="{173AD80D-6051-4183-80CA-328E68DFD691}" name="Octobre" totalsRowFunction="sum" dataDxfId="74" totalsRowDxfId="73"/>
    <tableColumn id="12" xr3:uid="{A84CDD7E-DF36-4EBF-B4BC-EDE058717078}" name="Novembre" totalsRowFunction="sum" dataDxfId="72" totalsRowDxfId="71"/>
    <tableColumn id="13" xr3:uid="{05FDBBB9-E5A9-4D1A-BA6C-B9ED854A7A89}" name="Décembre" totalsRowFunction="sum" dataDxfId="70" totalsRowDxfId="69"/>
    <tableColumn id="14" xr3:uid="{F8CFA756-59B2-4946-A5C1-63EC14B9909F}" name="Total" totalsRowFunction="sum" dataDxfId="68" totalsRowDxfId="67">
      <calculatedColumnFormula>SUM(Facture_budget[[#This Row],[Janvier]:[Décembre]])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5D371D-7955-4455-9EFE-990CF8AD1CAE}" name="Crédit_budget" displayName="Crédit_budget" ref="B31:O36" totalsRowCount="1" headerRowDxfId="66" dataDxfId="65" tableBorderDxfId="64">
  <autoFilter ref="B31:O35" xr:uid="{885D371D-7955-4455-9EFE-990CF8AD1CAE}"/>
  <tableColumns count="14">
    <tableColumn id="1" xr3:uid="{857D3A40-DB27-4CB7-B4D6-E7326A12EE7A}" name="Crédit" totalsRowLabel="Total" dataDxfId="63" totalsRowDxfId="62"/>
    <tableColumn id="2" xr3:uid="{622A8E9E-28E3-4610-B567-965717FC86DD}" name="Janvier" totalsRowFunction="sum" dataDxfId="61" totalsRowDxfId="60"/>
    <tableColumn id="3" xr3:uid="{558CEFFB-1746-4F36-A029-092CA00E279E}" name="Février" totalsRowFunction="sum" dataDxfId="59" totalsRowDxfId="58"/>
    <tableColumn id="4" xr3:uid="{381CA2FF-2D55-4637-8F58-08EF47D55370}" name="Mars" totalsRowFunction="sum" dataDxfId="57" totalsRowDxfId="56"/>
    <tableColumn id="5" xr3:uid="{7709DCD0-EFE8-47E0-B0D5-4AE16EA1C501}" name="Avril" totalsRowFunction="sum" dataDxfId="55" totalsRowDxfId="54"/>
    <tableColumn id="6" xr3:uid="{7C6CAFB7-E77D-4767-9475-7546F537B8A3}" name="Mai" totalsRowFunction="sum" dataDxfId="53" totalsRowDxfId="52"/>
    <tableColumn id="7" xr3:uid="{2EA4DBF6-B1B7-44D3-AA61-B9A8C2DF7A7A}" name="Juin" totalsRowFunction="sum" dataDxfId="51" totalsRowDxfId="50"/>
    <tableColumn id="8" xr3:uid="{3E07764C-B5B0-4E9D-8CBE-BC81C99C64FE}" name="Juillet" totalsRowFunction="sum" dataDxfId="49" totalsRowDxfId="48"/>
    <tableColumn id="9" xr3:uid="{39F03DD9-A2CA-47BB-815A-8E9962F72F8D}" name="Août" totalsRowFunction="sum" dataDxfId="47" totalsRowDxfId="46"/>
    <tableColumn id="10" xr3:uid="{A8815AC9-FBE2-499B-9612-BF03DDAD1780}" name="Septembre" totalsRowFunction="sum" dataDxfId="45" totalsRowDxfId="44"/>
    <tableColumn id="11" xr3:uid="{7FF4BEAD-9C26-4B19-937C-8F5AFFD75272}" name="Octobre" totalsRowFunction="sum" dataDxfId="43" totalsRowDxfId="42"/>
    <tableColumn id="12" xr3:uid="{356C570F-4292-4B16-995F-40329C3B0592}" name="Novembre" totalsRowFunction="sum" dataDxfId="41" totalsRowDxfId="40"/>
    <tableColumn id="13" xr3:uid="{AA13CB6B-4CAF-4C78-84F2-23422E89AD93}" name="Décembre" totalsRowFunction="sum" dataDxfId="39" totalsRowDxfId="38"/>
    <tableColumn id="14" xr3:uid="{119D0A21-1C6F-4C98-8F4B-33F196374CB1}" name="Total" totalsRowFunction="sum" dataDxfId="37" totalsRowDxfId="36">
      <calculatedColumnFormula>SUM(Crédit_budget[[#This Row],[Janvier]:[Décembre]])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F365DA-29B8-460B-B262-D55447E4AEF6}" name="Epargne_budget" displayName="Epargne_budget" ref="B38:O43" totalsRowCount="1" headerRowDxfId="35" dataDxfId="34" tableBorderDxfId="33">
  <autoFilter ref="B38:O42" xr:uid="{BBF365DA-29B8-460B-B262-D55447E4AEF6}"/>
  <tableColumns count="14">
    <tableColumn id="1" xr3:uid="{A94ADCCC-A6BB-4908-A1CD-137B52D745B7}" name="Epargne" totalsRowLabel="Total" dataDxfId="32" totalsRowDxfId="31"/>
    <tableColumn id="2" xr3:uid="{74A3E005-61B5-4A39-B2D7-6C5BB1A9299B}" name="Janvier" totalsRowFunction="sum" dataDxfId="30" totalsRowDxfId="29"/>
    <tableColumn id="3" xr3:uid="{69DA82EC-0F36-4528-9BC0-804DEA423812}" name="Février" totalsRowFunction="sum" dataDxfId="28" totalsRowDxfId="27"/>
    <tableColumn id="4" xr3:uid="{9274F4EC-21F1-428A-852E-C7EEF5553D1B}" name="Mars" totalsRowFunction="sum" dataDxfId="26" totalsRowDxfId="25"/>
    <tableColumn id="5" xr3:uid="{1E1277E3-4CF5-4ECE-B2C0-29AA4E1BA7BD}" name="Avril" totalsRowFunction="sum" dataDxfId="24" totalsRowDxfId="23"/>
    <tableColumn id="6" xr3:uid="{9E80390C-8F9A-4FB6-BDD1-18E3328EB5E2}" name="Mai" totalsRowFunction="sum" dataDxfId="22" totalsRowDxfId="21"/>
    <tableColumn id="7" xr3:uid="{AE294AAE-5F4C-474F-9114-D7CC694465D1}" name="Juin" totalsRowFunction="custom" dataDxfId="20" totalsRowDxfId="19">
      <totalsRowFormula>SUBTOTAL(109,Epargne_budget[Février])</totalsRowFormula>
    </tableColumn>
    <tableColumn id="8" xr3:uid="{9EDC97F8-63CA-40DE-B685-E0841714BD9B}" name="Juillet" totalsRowFunction="custom" dataDxfId="18" totalsRowDxfId="17">
      <totalsRowFormula>SUBTOTAL(109,Epargne_budget[Mars])</totalsRowFormula>
    </tableColumn>
    <tableColumn id="9" xr3:uid="{9B723DC6-406F-4543-B273-02F19C641915}" name="Août" totalsRowFunction="custom" dataDxfId="16" totalsRowDxfId="15">
      <totalsRowFormula>SUBTOTAL(109,Epargne_budget[Avril])</totalsRowFormula>
    </tableColumn>
    <tableColumn id="10" xr3:uid="{815A30E3-C70D-4BB4-98DF-2B35CA9F1DA9}" name="Septembre" totalsRowFunction="custom" dataDxfId="14" totalsRowDxfId="13">
      <totalsRowFormula>SUBTOTAL(109,Epargne_budget[Mai])</totalsRowFormula>
    </tableColumn>
    <tableColumn id="11" xr3:uid="{F102F500-BF03-4AE1-8879-161A57039E33}" name="Octobre" totalsRowFunction="custom" dataDxfId="12" totalsRowDxfId="11">
      <totalsRowFormula>SUBTOTAL(109,Epargne_budget[Juin])</totalsRowFormula>
    </tableColumn>
    <tableColumn id="12" xr3:uid="{8A57C35F-CEF7-48BB-ACCF-ED1A901FE939}" name="Novembre" totalsRowFunction="custom" dataDxfId="10" totalsRowDxfId="9">
      <totalsRowFormula>SUBTOTAL(109,Epargne_budget[Mars])</totalsRowFormula>
    </tableColumn>
    <tableColumn id="13" xr3:uid="{B48308A8-44CD-474D-92D4-3D27FF26DA26}" name="Décembre" totalsRowFunction="custom" dataDxfId="8" totalsRowDxfId="7">
      <totalsRowFormula>SUBTOTAL(109,Epargne_budget[Avril])</totalsRowFormula>
    </tableColumn>
    <tableColumn id="14" xr3:uid="{F4334B59-D0FA-4939-B6F2-72213F6355FB}" name="Total" totalsRowFunction="sum" dataDxfId="6" totalsRowDxfId="5">
      <calculatedColumnFormula>SUM(Epargne_budget[[#This Row],[Janvier]:[Décembre]])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CC374-C9F3-4F74-82E1-31B8049EDAA0}">
  <sheetPr codeName="Sheet1"/>
  <dimension ref="B3:T55"/>
  <sheetViews>
    <sheetView showGridLines="0" tabSelected="1" topLeftCell="A20" zoomScale="60" zoomScaleNormal="60" workbookViewId="0">
      <selection activeCell="U55" sqref="U55"/>
    </sheetView>
  </sheetViews>
  <sheetFormatPr defaultRowHeight="14.4" x14ac:dyDescent="0.3"/>
  <cols>
    <col min="1" max="1" width="7" customWidth="1"/>
    <col min="2" max="2" width="21.44140625" customWidth="1"/>
    <col min="3" max="3" width="14.33203125" customWidth="1"/>
    <col min="4" max="4" width="15.88671875" customWidth="1"/>
    <col min="5" max="5" width="2.77734375" customWidth="1"/>
    <col min="6" max="6" width="16.77734375" customWidth="1"/>
    <col min="7" max="7" width="14.33203125" customWidth="1"/>
    <col min="8" max="8" width="16.109375" customWidth="1"/>
    <col min="9" max="9" width="2.77734375" customWidth="1"/>
    <col min="10" max="10" width="16.77734375" customWidth="1"/>
    <col min="11" max="12" width="14.33203125" customWidth="1"/>
    <col min="13" max="13" width="12.44140625" bestFit="1" customWidth="1"/>
    <col min="14" max="14" width="16.77734375" customWidth="1"/>
    <col min="15" max="16" width="14.33203125" customWidth="1"/>
    <col min="17" max="17" width="2.77734375" customWidth="1"/>
    <col min="18" max="18" width="16.77734375" customWidth="1"/>
    <col min="19" max="20" width="14.33203125" customWidth="1"/>
    <col min="21" max="21" width="13.6640625" bestFit="1" customWidth="1"/>
  </cols>
  <sheetData>
    <row r="3" spans="2:7" ht="17.399999999999999" x14ac:dyDescent="0.3">
      <c r="B3" s="60" t="s">
        <v>59</v>
      </c>
      <c r="D3" s="59"/>
      <c r="F3" s="59"/>
      <c r="G3" s="59"/>
    </row>
    <row r="13" spans="2:7" ht="34.799999999999997" x14ac:dyDescent="0.3">
      <c r="B13" s="75" t="str">
        <f>Calcul!M22</f>
        <v>Janvier</v>
      </c>
      <c r="C13" s="75"/>
    </row>
    <row r="42" spans="2:20" ht="19.95" customHeight="1" x14ac:dyDescent="0.3">
      <c r="B42" s="30" t="s">
        <v>54</v>
      </c>
      <c r="C42" s="30" t="s">
        <v>47</v>
      </c>
      <c r="D42" s="30" t="s">
        <v>62</v>
      </c>
      <c r="F42" s="32" t="s">
        <v>17</v>
      </c>
      <c r="G42" s="32" t="s">
        <v>47</v>
      </c>
      <c r="H42" s="32" t="s">
        <v>62</v>
      </c>
      <c r="J42" s="32" t="s">
        <v>26</v>
      </c>
      <c r="K42" s="32" t="s">
        <v>47</v>
      </c>
      <c r="L42" s="32" t="s">
        <v>62</v>
      </c>
      <c r="N42" s="32" t="s">
        <v>35</v>
      </c>
      <c r="O42" s="32" t="s">
        <v>47</v>
      </c>
      <c r="P42" s="32" t="s">
        <v>62</v>
      </c>
      <c r="R42" s="33" t="s">
        <v>40</v>
      </c>
      <c r="S42" s="33" t="s">
        <v>47</v>
      </c>
      <c r="T42" s="33" t="s">
        <v>48</v>
      </c>
    </row>
    <row r="43" spans="2:20" ht="19.95" customHeight="1" x14ac:dyDescent="0.3">
      <c r="B43" s="29" t="s">
        <v>14</v>
      </c>
      <c r="C43" s="38" cm="1">
        <f t="array" ref="C43">IFERROR(IF($B$13="Tous les mois",SUMIF(Transaction[Catégorie],B43,Transaction[Montant]),SUMPRODUCT((MONTH(Transaction[Date])=MONTH(DATEVALUE("1"&amp;$B$13&amp;"2000")))*(B43=Transaction[Catégorie])*Transaction[Montant])),"")</f>
        <v>0</v>
      </c>
      <c r="D43" s="35">
        <f>IFERROR(IF($B$13="Tous les mois",VLOOKUP(B43,Revenu_budget[],14,FALSE),INDEX(Revenu_budget[[Janvier]:[Décembre]],MATCH(B43,Revenu_budget[Revenu],0),MATCH($B$13,Facture_budget[[#Headers],[Janvier]:[Décembre]],0))),"")</f>
        <v>3000</v>
      </c>
      <c r="F43" s="29" t="s">
        <v>18</v>
      </c>
      <c r="G43" s="37" cm="1">
        <f t="array" ref="G43">IFERROR(IF($B$13="Tous les mois",SUMIF(Transaction[Catégorie],F43,Transaction[Montant]),SUMPRODUCT(((MONTH(Transaction[Date])=MONTH(DATEVALUE("1"&amp;$B$13&amp;"2000")))*(F43=Transaction[Catégorie]))*Transaction[Montant])),"")</f>
        <v>0</v>
      </c>
      <c r="H43" s="35">
        <f>IFERROR(IF($B$13="Tous les mois",VLOOKUP(F43,Dépense_budget[],14,FALSE),INDEX(Dépense_budget[[Janvier]:[Décembre]],MATCH(F43,Dépense_budget[Dépense],0),MATCH($B$13,Facture_budget[[#Headers],[Janvier]:[Décembre]],0))),"")</f>
        <v>3000</v>
      </c>
      <c r="J43" s="29" t="s">
        <v>27</v>
      </c>
      <c r="K43" s="37" cm="1">
        <f t="array" ref="K43">IFERROR(IF($B$13="Tous les mois",SUMIF(Transaction[Catégorie],J43,Transaction[Montant]),SUMPRODUCT((MONTH(Transaction[Date])=MONTH(DATEVALUE("1"&amp;$B$13&amp;"2000")))*(J43=Transaction[Catégorie])*Transaction[Montant])),"")</f>
        <v>0</v>
      </c>
      <c r="L43" s="35">
        <f>IFERROR(IF($B$13="Tous les mois",VLOOKUP(J43,Facture_budget[],14,FALSE),INDEX(Facture_budget[[Janvier]:[Décembre]],MATCH(J43,Facture_budget[Facture],0),MATCH($B$13,Epargne_budget[[#Headers],[Janvier]:[Décembre]],0))),"")</f>
        <v>80</v>
      </c>
      <c r="N43" s="29" t="s">
        <v>32</v>
      </c>
      <c r="O43" s="37" cm="1">
        <f t="array" ref="O43">IFERROR(IF($B$13="Tous les mois",SUMIF(Transaction[Catégorie],N43,Transaction[Montant]),SUMPRODUCT(((MONTH(Transaction[Date])=MONTH(DATEVALUE("1"&amp;$B$13&amp;"2000")))*(N43=Transaction[Catégorie]))*Transaction[Montant])),"")</f>
        <v>0</v>
      </c>
      <c r="P43" s="35">
        <f>IFERROR(IF($B$13="Tous les mois",VLOOKUP(N43,Crédit_budget[],14,FALSE),INDEX(Crédit_budget[[Janvier]:[Décembre]],MATCH(N43,Crédit_budget[Crédit],0),MATCH($B$13,Facture_budget[[#Headers],[Janvier]:[Décembre]],0))),"")</f>
        <v>700</v>
      </c>
      <c r="R43" s="29" t="s">
        <v>36</v>
      </c>
      <c r="S43" s="36" cm="1">
        <f t="array" ref="S43">IFERROR(IF($B$13="Tous les mois",SUMIF(Transaction[Catégorie],R43,Transaction[Montant]),SUMPRODUCT(((MONTH(Transaction[Date])=MONTH(DATEVALUE("1"&amp;$B$13&amp;"2000")))*(R43=Transaction[Catégorie]))*Transaction[Montant])),"")</f>
        <v>0</v>
      </c>
      <c r="T43" s="35">
        <f>IFERROR(IF($B$13="Tous les mois",VLOOKUP(R43,Epargne_budget[],14,FALSE),INDEX(Epargne_budget[[Janvier]:[Décembre]],MATCH(R43,Epargne_budget[Epargne],0),MATCH($B$13,Facture_budget[[#Headers],[Janvier]:[Décembre]],0))),"")</f>
        <v>120</v>
      </c>
    </row>
    <row r="44" spans="2:20" ht="19.95" customHeight="1" x14ac:dyDescent="0.3">
      <c r="B44" s="29" t="s">
        <v>15</v>
      </c>
      <c r="C44" s="38" cm="1">
        <f t="array" ref="C44">IFERROR(IF($B$13="Tous les mois",SUMIF(Transaction[Catégorie],B44,Transaction[Montant]),SUMPRODUCT((MONTH(Transaction[Date])=MONTH(DATEVALUE("1"&amp;$B$13&amp;"2000")))*(B44=Transaction[Catégorie])*Transaction[Montant])),"")</f>
        <v>0</v>
      </c>
      <c r="D44" s="35">
        <f>IFERROR(IF($B$13="Tous les mois",VLOOKUP(B44,Revenu_budget[],14,FALSE),INDEX(Revenu_budget[[Janvier]:[Décembre]],MATCH(B44,Revenu_budget[Revenu],0),MATCH($B$13,Facture_budget[[#Headers],[Janvier]:[Décembre]],0))),"")</f>
        <v>500</v>
      </c>
      <c r="F44" s="29" t="s">
        <v>19</v>
      </c>
      <c r="G44" s="37" cm="1">
        <f t="array" ref="G44">IFERROR(IF($B$13="Tous les mois",SUMIF(Transaction[Catégorie],F44,Transaction[Montant]),SUMPRODUCT(((MONTH(Transaction[Date])=MONTH(DATEVALUE("1"&amp;$B$13&amp;"2000")))*(F44=Transaction[Catégorie]))*Transaction[Montant])),"")</f>
        <v>0</v>
      </c>
      <c r="H44" s="35">
        <f>IFERROR(IF($B$13="Tous les mois",VLOOKUP(F44,Dépense_budget[],14,FALSE),INDEX(Dépense_budget[[Janvier]:[Décembre]],MATCH(F44,Dépense_budget[Dépense],0),MATCH($B$13,Facture_budget[[#Headers],[Janvier]:[Décembre]],0))),"")</f>
        <v>500</v>
      </c>
      <c r="J44" s="29" t="s">
        <v>28</v>
      </c>
      <c r="K44" s="37" cm="1">
        <f t="array" ref="K44">IFERROR(IF($B$13="Tous les mois",SUMIF(Transaction[Catégorie],J44,Transaction[Montant]),SUMPRODUCT((MONTH(Transaction[Date])=MONTH(DATEVALUE("1"&amp;$B$13&amp;"2000")))*(J44=Transaction[Catégorie])*Transaction[Montant])),"")</f>
        <v>0</v>
      </c>
      <c r="L44" s="35">
        <f>IFERROR(IF($B$13="Tous les mois",VLOOKUP(J44,Facture_budget[],14,FALSE),INDEX(Facture_budget[[Janvier]:[Décembre]],MATCH(J44,Facture_budget[Facture],0),MATCH($B$13,Epargne_budget[[#Headers],[Janvier]:[Décembre]],0))),"")</f>
        <v>20</v>
      </c>
      <c r="N44" s="29" t="s">
        <v>33</v>
      </c>
      <c r="O44" s="37" cm="1">
        <f t="array" ref="O44">IFERROR(IF($B$13="Tous les mois",SUMIF(Transaction[Catégorie],N44,Transaction[Montant]),SUMPRODUCT(((MONTH(Transaction[Date])=MONTH(DATEVALUE("1"&amp;$B$13&amp;"2000")))*(N44=Transaction[Catégorie]))*Transaction[Montant])),"")</f>
        <v>0</v>
      </c>
      <c r="P44" s="35">
        <f>IFERROR(IF($B$13="Tous les mois",VLOOKUP(N44,Crédit_budget[],14,FALSE),INDEX(Crédit_budget[[Janvier]:[Décembre]],MATCH(N44,Crédit_budget[Crédit],0),MATCH($B$13,Facture_budget[[#Headers],[Janvier]:[Décembre]],0))),"")</f>
        <v>90</v>
      </c>
      <c r="R44" s="29" t="s">
        <v>37</v>
      </c>
      <c r="S44" s="36" cm="1">
        <f t="array" ref="S44">IFERROR(IF($B$13="Tous les mois",SUMIF(Transaction[Catégorie],R44,Transaction[Montant]),SUMPRODUCT(((MONTH(Transaction[Date])=MONTH(DATEVALUE("1"&amp;$B$13&amp;"2000")))*(R44=Transaction[Catégorie]))*Transaction[Montant])),"")</f>
        <v>0</v>
      </c>
      <c r="T44" s="35">
        <f>IFERROR(IF($B$13="Tous les mois",VLOOKUP(R44,Epargne_budget[],14,FALSE),INDEX(Epargne_budget[[Janvier]:[Décembre]],MATCH(R44,Epargne_budget[Epargne],0),MATCH($B$13,Facture_budget[[#Headers],[Janvier]:[Décembre]],0))),"")</f>
        <v>150</v>
      </c>
    </row>
    <row r="45" spans="2:20" ht="19.95" customHeight="1" x14ac:dyDescent="0.3">
      <c r="B45" s="29" t="s">
        <v>16</v>
      </c>
      <c r="C45" s="38" cm="1">
        <f t="array" ref="C45">IFERROR(IF($B$13="Tous les mois",SUMIF(Transaction[Catégorie],B45,Transaction[Montant]),SUMPRODUCT((MONTH(Transaction[Date])=MONTH(DATEVALUE("1"&amp;$B$13&amp;"2000")))*(B45=Transaction[Catégorie])*Transaction[Montant])),"")</f>
        <v>0</v>
      </c>
      <c r="D45" s="35">
        <f>IFERROR(IF($B$13="Tous les mois",VLOOKUP(B45,Revenu_budget[],14,FALSE),INDEX(Revenu_budget[[Janvier]:[Décembre]],MATCH(B45,Revenu_budget[Revenu],0),MATCH($B$13,Facture_budget[[#Headers],[Janvier]:[Décembre]],0))),"")</f>
        <v>300</v>
      </c>
      <c r="F45" s="29" t="s">
        <v>20</v>
      </c>
      <c r="G45" s="37" cm="1">
        <f t="array" ref="G45">IFERROR(IF($B$13="Tous les mois",SUMIF(Transaction[Catégorie],F45,Transaction[Montant]),SUMPRODUCT(((MONTH(Transaction[Date])=MONTH(DATEVALUE("1"&amp;$B$13&amp;"2000")))*(F45=Transaction[Catégorie]))*Transaction[Montant])),"")</f>
        <v>0</v>
      </c>
      <c r="H45" s="35">
        <f>IFERROR(IF($B$13="Tous les mois",VLOOKUP(F45,Dépense_budget[],14,FALSE),INDEX(Dépense_budget[[Janvier]:[Décembre]],MATCH(F45,Dépense_budget[Dépense],0),MATCH($B$13,Facture_budget[[#Headers],[Janvier]:[Décembre]],0))),"")</f>
        <v>300</v>
      </c>
      <c r="J45" s="29" t="s">
        <v>29</v>
      </c>
      <c r="K45" s="37" cm="1">
        <f t="array" ref="K45">IFERROR(IF($B$13="Tous les mois",SUMIF(Transaction[Catégorie],J45,Transaction[Montant]),SUMPRODUCT((MONTH(Transaction[Date])=MONTH(DATEVALUE("1"&amp;$B$13&amp;"2000")))*(J45=Transaction[Catégorie])*Transaction[Montant])),"")</f>
        <v>0</v>
      </c>
      <c r="L45" s="35">
        <f>IFERROR(IF($B$13="Tous les mois",VLOOKUP(J45,Facture_budget[],14,FALSE),INDEX(Facture_budget[[Janvier]:[Décembre]],MATCH(J45,Facture_budget[Facture],0),MATCH($B$13,Epargne_budget[[#Headers],[Janvier]:[Décembre]],0))),"")</f>
        <v>10</v>
      </c>
      <c r="N45" s="29" t="s">
        <v>34</v>
      </c>
      <c r="O45" s="37" cm="1">
        <f t="array" ref="O45">IFERROR(IF($B$13="Tous les mois",SUMIF(Transaction[Catégorie],N45,Transaction[Montant]),SUMPRODUCT(((MONTH(Transaction[Date])=MONTH(DATEVALUE("1"&amp;$B$13&amp;"2000")))*(N45=Transaction[Catégorie]))*Transaction[Montant])),"")</f>
        <v>0</v>
      </c>
      <c r="P45" s="35">
        <f>IFERROR(IF($B$13="Tous les mois",VLOOKUP(N45,Crédit_budget[],14,FALSE),INDEX(Crédit_budget[[Janvier]:[Décembre]],MATCH(N45,Crédit_budget[Crédit],0),MATCH($B$13,Facture_budget[[#Headers],[Janvier]:[Décembre]],0))),"")</f>
        <v>150</v>
      </c>
      <c r="R45" s="29" t="s">
        <v>38</v>
      </c>
      <c r="S45" s="36" cm="1">
        <f t="array" ref="S45">IFERROR(IF($B$13="Tous les mois",SUMIF(Transaction[Catégorie],R45,Transaction[Montant]),SUMPRODUCT(((MONTH(Transaction[Date])=MONTH(DATEVALUE("1"&amp;$B$13&amp;"2000")))*(R45=Transaction[Catégorie]))*Transaction[Montant])),"")</f>
        <v>0</v>
      </c>
      <c r="T45" s="35">
        <f>IFERROR(IF($B$13="Tous les mois",VLOOKUP(R45,Epargne_budget[],14,FALSE),INDEX(Epargne_budget[[Janvier]:[Décembre]],MATCH(R45,Epargne_budget[Epargne],0),MATCH($B$13,Facture_budget[[#Headers],[Janvier]:[Décembre]],0))),"")</f>
        <v>120</v>
      </c>
    </row>
    <row r="46" spans="2:20" ht="19.95" customHeight="1" x14ac:dyDescent="0.3">
      <c r="B46" s="29" t="s">
        <v>61</v>
      </c>
      <c r="C46" s="38" cm="1">
        <f t="array" ref="C46">IFERROR(IF($B$13="Tous les mois",SUMIF(Transaction[Catégorie],B46,Transaction[Montant]),SUMPRODUCT((MONTH(Transaction[Date])=MONTH(DATEVALUE("1"&amp;$B$13&amp;"2000")))*(B46=Transaction[Catégorie])*Transaction[Montant])),"")</f>
        <v>0</v>
      </c>
      <c r="D46" s="35">
        <f>IFERROR(IF($B$13="Tous les mois",VLOOKUP(B46,Revenu_budget[],14,FALSE),INDEX(Revenu_budget[[Janvier]:[Décembre]],MATCH(B46,Revenu_budget[Revenu],0),MATCH($B$13,Facture_budget[[#Headers],[Janvier]:[Décembre]],0))),"")</f>
        <v>500</v>
      </c>
      <c r="F46" s="29" t="s">
        <v>21</v>
      </c>
      <c r="G46" s="37" cm="1">
        <f t="array" ref="G46">IFERROR(IF($B$13="Tous les mois",SUMIF(Transaction[Catégorie],F46,Transaction[Montant]),SUMPRODUCT(((MONTH(Transaction[Date])=MONTH(DATEVALUE("1"&amp;$B$13&amp;"2000")))*(F46=Transaction[Catégorie]))*Transaction[Montant])),"")</f>
        <v>0</v>
      </c>
      <c r="H46" s="35">
        <f>IFERROR(IF($B$13="Tous les mois",VLOOKUP(F46,Dépense_budget[],14,FALSE),INDEX(Dépense_budget[[Janvier]:[Décembre]],MATCH(F46,Dépense_budget[Dépense],0),MATCH($B$13,Facture_budget[[#Headers],[Janvier]:[Décembre]],0))),"")</f>
        <v>0</v>
      </c>
      <c r="J46" s="29" t="s">
        <v>30</v>
      </c>
      <c r="K46" s="37" cm="1">
        <f t="array" ref="K46">IFERROR(IF($B$13="Tous les mois",SUMIF(Transaction[Catégorie],J46,Transaction[Montant]),SUMPRODUCT((MONTH(Transaction[Date])=MONTH(DATEVALUE("1"&amp;$B$13&amp;"2000")))*(J46=Transaction[Catégorie])*Transaction[Montant])),"")</f>
        <v>0</v>
      </c>
      <c r="L46" s="35">
        <f>IFERROR(IF($B$13="Tous les mois",VLOOKUP(J46,Facture_budget[],14,FALSE),INDEX(Facture_budget[[Janvier]:[Décembre]],MATCH(J46,Facture_budget[Facture],0),MATCH($B$13,Epargne_budget[[#Headers],[Janvier]:[Décembre]],0))),"")</f>
        <v>20</v>
      </c>
      <c r="N46" s="29" t="s">
        <v>60</v>
      </c>
      <c r="O46" s="37" cm="1">
        <f t="array" ref="O46">IFERROR(IF($B$13="Tous les mois",SUMIF(Transaction[Catégorie],N46,Transaction[Montant]),SUMPRODUCT(((MONTH(Transaction[Date])=MONTH(DATEVALUE("1"&amp;$B$13&amp;"2000")))*(N46=Transaction[Catégorie]))*Transaction[Montant])),"")</f>
        <v>100</v>
      </c>
      <c r="P46" s="35">
        <f>IFERROR(IF($B$13="Tous les mois",VLOOKUP(N46,Crédit_budget[],14,FALSE),INDEX(Crédit_budget[[Janvier]:[Décembre]],MATCH(N46,Crédit_budget[Crédit],0),MATCH($B$13,Facture_budget[[#Headers],[Janvier]:[Décembre]],0))),"")</f>
        <v>3000</v>
      </c>
      <c r="R46" s="29" t="s">
        <v>39</v>
      </c>
      <c r="S46" s="36" cm="1">
        <f t="array" ref="S46">IFERROR(IF($B$13="Tous les mois",SUMIF(Transaction[Catégorie],R46,Transaction[Montant]),SUMPRODUCT(((MONTH(Transaction[Date])=MONTH(DATEVALUE("1"&amp;$B$13&amp;"2000")))*(R46=Transaction[Catégorie]))*Transaction[Montant])),"")</f>
        <v>0</v>
      </c>
      <c r="T46" s="35">
        <f>IFERROR(IF($B$13="Tous les mois",VLOOKUP(R46,Epargne_budget[],14,FALSE),INDEX(Epargne_budget[[Janvier]:[Décembre]],MATCH(R46,Epargne_budget[Epargne],0),MATCH($B$13,Facture_budget[[#Headers],[Janvier]:[Décembre]],0))),"")</f>
        <v>100</v>
      </c>
    </row>
    <row r="47" spans="2:20" ht="19.95" customHeight="1" x14ac:dyDescent="0.3">
      <c r="B47" s="29"/>
      <c r="C47" s="38" cm="1">
        <f t="array" ref="C47">IFERROR(IF($B$13="Tous les mois",SUMIF(Transaction[Catégorie],B47,Transaction[Montant]),SUMPRODUCT((MONTH(Transaction[Date])=MONTH(DATEVALUE("1"&amp;$B$13&amp;"2000")))*(B47=Transaction[Catégorie])*Transaction[Montant])),"")</f>
        <v>0</v>
      </c>
      <c r="D47" s="35" t="str">
        <f>IFERROR(IF($B$13="Tous les mois",VLOOKUP(B47,Revenu_budget[],14,FALSE),INDEX(Revenu_budget[[Janvier]:[Décembre]],MATCH(B47,Revenu_budget[Revenu],0),MATCH($B$13,Facture_budget[[#Headers],[Janvier]:[Décembre]],0))),"")</f>
        <v/>
      </c>
      <c r="F47" s="29" t="s">
        <v>22</v>
      </c>
      <c r="G47" s="37" cm="1">
        <f t="array" ref="G47">IFERROR(IF($B$13="Tous les mois",SUMIF(Transaction[Catégorie],F47,Transaction[Montant]),SUMPRODUCT(((MONTH(Transaction[Date])=MONTH(DATEVALUE("1"&amp;$B$13&amp;"2000")))*(F47=Transaction[Catégorie]))*Transaction[Montant])),"")</f>
        <v>0</v>
      </c>
      <c r="H47" s="35">
        <f>IFERROR(IF($B$13="Tous les mois",VLOOKUP(F47,Dépense_budget[],14,FALSE),INDEX(Dépense_budget[[Janvier]:[Décembre]],MATCH(F47,Dépense_budget[Dépense],0),MATCH($B$13,Facture_budget[[#Headers],[Janvier]:[Décembre]],0))),"")</f>
        <v>60</v>
      </c>
      <c r="J47" s="29" t="s">
        <v>31</v>
      </c>
      <c r="K47" s="37" cm="1">
        <f t="array" ref="K47">IFERROR(IF($B$13="Tous les mois",SUMIF(Transaction[Catégorie],J47,Transaction[Montant]),SUMPRODUCT((MONTH(Transaction[Date])=MONTH(DATEVALUE("1"&amp;$B$13&amp;"2000")))*(J47=Transaction[Catégorie])*Transaction[Montant])),"")</f>
        <v>0</v>
      </c>
      <c r="L47" s="35">
        <f>IFERROR(IF($B$13="Tous les mois",VLOOKUP(J47,Facture_budget[],14,FALSE),INDEX(Facture_budget[[Janvier]:[Décembre]],MATCH(J47,Facture_budget[Facture],0),MATCH($B$13,Epargne_budget[[#Headers],[Janvier]:[Décembre]],0))),"")</f>
        <v>15</v>
      </c>
      <c r="N47" s="29"/>
      <c r="O47" s="37" cm="1">
        <f t="array" ref="O47">IFERROR(IF($B$13="Tous les mois",SUMIF(Transaction[Catégorie],N47,Transaction[Montant]),SUMPRODUCT(((MONTH(Transaction[Date])=MONTH(DATEVALUE("1"&amp;$B$13&amp;"2000")))*(N47=Transaction[Catégorie]))*Transaction[Montant])),"")</f>
        <v>0</v>
      </c>
      <c r="P47" s="35" t="str">
        <f>IFERROR(IF($B$13="Tous les mois",VLOOKUP(N47,Crédit_budget[],14,FALSE),INDEX(Crédit_budget[[Janvier]:[Décembre]],MATCH(N47,Crédit_budget[Crédit],0),MATCH($B$13,Facture_budget[[#Headers],[Janvier]:[Décembre]],0))),"")</f>
        <v/>
      </c>
      <c r="R47" s="29"/>
      <c r="S47" s="36" cm="1">
        <f t="array" ref="S47">IFERROR(IF($B$13="Tous les mois",SUMIF(Transaction[Catégorie],R47,Transaction[Montant]),SUMPRODUCT(((MONTH(Transaction[Date])=MONTH(DATEVALUE("1"&amp;$B$13&amp;"2000")))*(R47=Transaction[Catégorie]))*Transaction[Montant])),"")</f>
        <v>0</v>
      </c>
      <c r="T47" s="35" t="str">
        <f>IFERROR(IF($B$13="Tous les mois",VLOOKUP(R47,Epargne_budget[],14,FALSE),INDEX(Epargne_budget[[Janvier]:[Décembre]],MATCH(R47,Epargne_budget[Epargne],0),MATCH($B$13,Facture_budget[[#Headers],[Janvier]:[Décembre]],0))),"")</f>
        <v/>
      </c>
    </row>
    <row r="48" spans="2:20" ht="19.95" customHeight="1" x14ac:dyDescent="0.3">
      <c r="B48" s="29"/>
      <c r="C48" s="38" cm="1">
        <f t="array" ref="C48">IFERROR(IF($B$13="Tous les mois",SUMIF(Transaction[Catégorie],B48,Transaction[Montant]),SUMPRODUCT((MONTH(Transaction[Date])=MONTH(DATEVALUE("1"&amp;$B$13&amp;"2000")))*(B48=Transaction[Catégorie])*Transaction[Montant])),"")</f>
        <v>0</v>
      </c>
      <c r="D48" s="35" t="str">
        <f>IFERROR(IF($B$13="Tous les mois",VLOOKUP(B48,Revenu_budget[],14,FALSE),INDEX(Revenu_budget[[Janvier]:[Décembre]],MATCH(B48,Revenu_budget[Revenu],0),MATCH($B$13,Facture_budget[[#Headers],[Janvier]:[Décembre]],0))),"")</f>
        <v/>
      </c>
      <c r="F48" s="29" t="s">
        <v>23</v>
      </c>
      <c r="G48" s="37" cm="1">
        <f t="array" ref="G48">IFERROR(IF($B$13="Tous les mois",SUMIF(Transaction[Catégorie],F48,Transaction[Montant]),SUMPRODUCT(((MONTH(Transaction[Date])=MONTH(DATEVALUE("1"&amp;$B$13&amp;"2000")))*(F48=Transaction[Catégorie]))*Transaction[Montant])),"")</f>
        <v>500</v>
      </c>
      <c r="H48" s="35">
        <f>IFERROR(IF($B$13="Tous les mois",VLOOKUP(F48,Dépense_budget[],14,FALSE),INDEX(Dépense_budget[[Janvier]:[Décembre]],MATCH(F48,Dépense_budget[Dépense],0),MATCH($B$13,Facture_budget[[#Headers],[Janvier]:[Décembre]],0))),"")</f>
        <v>300</v>
      </c>
      <c r="J48" s="29"/>
      <c r="K48" s="37" cm="1">
        <f t="array" ref="K48">IFERROR(IF($B$13="Tous les mois",SUMIF(Transaction[Catégorie],J48,Transaction[Montant]),SUMPRODUCT((MONTH(Transaction[Date])=MONTH(DATEVALUE("1"&amp;$B$13&amp;"2000")))*(J48=Transaction[Catégorie])*Transaction[Montant])),"")</f>
        <v>0</v>
      </c>
      <c r="L48" s="35" t="str">
        <f>IFERROR(IF($B$13="Tous les mois",VLOOKUP(J48,Facture_budget[],14,FALSE),INDEX(Facture_budget[[Janvier]:[Décembre]],MATCH(J48,Facture_budget[Facture],0),MATCH($B$13,Epargne_budget[[#Headers],[Janvier]:[Décembre]],0))),"")</f>
        <v/>
      </c>
      <c r="N48" s="29"/>
      <c r="O48" s="37" cm="1">
        <f t="array" ref="O48">IFERROR(IF($B$13="Tous les mois",SUMIF(Transaction[Catégorie],N48,Transaction[Montant]),SUMPRODUCT(((MONTH(Transaction[Date])=MONTH(DATEVALUE("1"&amp;$B$13&amp;"2000")))*(N48=Transaction[Catégorie]))*Transaction[Montant])),"")</f>
        <v>0</v>
      </c>
      <c r="P48" s="35" t="str">
        <f>IFERROR(IF($B$13="Tous les mois",VLOOKUP(N48,Crédit_budget[],14,FALSE),INDEX(Crédit_budget[[Janvier]:[Décembre]],MATCH(N48,Crédit_budget[Crédit],0),MATCH($B$13,Facture_budget[[#Headers],[Janvier]:[Décembre]],0))),"")</f>
        <v/>
      </c>
      <c r="R48" s="29"/>
      <c r="S48" s="36" cm="1">
        <f t="array" ref="S48">IFERROR(IF($B$13="Tous les mois",SUMIF(Transaction[Catégorie],R48,Transaction[Montant]),SUMPRODUCT(((MONTH(Transaction[Date])=MONTH(DATEVALUE("1"&amp;$B$13&amp;"2000")))*(R48=Transaction[Catégorie]))*Transaction[Montant])),"")</f>
        <v>0</v>
      </c>
      <c r="T48" s="35" t="str">
        <f>IFERROR(IF($B$13="Tous les mois",VLOOKUP(R48,Epargne_budget[],14,FALSE),INDEX(Epargne_budget[[Janvier]:[Décembre]],MATCH(R48,Epargne_budget[Epargne],0),MATCH($B$13,Facture_budget[[#Headers],[Janvier]:[Décembre]],0))),"")</f>
        <v/>
      </c>
    </row>
    <row r="49" spans="2:20" ht="19.95" customHeight="1" x14ac:dyDescent="0.3">
      <c r="B49" s="29"/>
      <c r="C49" s="38" cm="1">
        <f t="array" ref="C49">IFERROR(IF($B$13="Tous les mois",SUMIF(Transaction[Catégorie],B49,Transaction[Montant]),SUMPRODUCT((MONTH(Transaction[Date])=MONTH(DATEVALUE("1"&amp;$B$13&amp;"2000")))*(B49=Transaction[Catégorie])*Transaction[Montant])),"")</f>
        <v>0</v>
      </c>
      <c r="D49" s="35" t="str">
        <f>IFERROR(IF($B$13="Tous les mois",VLOOKUP(B49,Revenu_budget[],14,FALSE),INDEX(Revenu_budget[[Janvier]:[Décembre]],MATCH(B49,Revenu_budget[Revenu],0),MATCH($B$13,Facture_budget[[#Headers],[Janvier]:[Décembre]],0))),"")</f>
        <v/>
      </c>
      <c r="F49" s="29" t="s">
        <v>24</v>
      </c>
      <c r="G49" s="37" cm="1">
        <f t="array" ref="G49">IFERROR(IF($B$13="Tous les mois",SUMIF(Transaction[Catégorie],F49,Transaction[Montant]),SUMPRODUCT(((MONTH(Transaction[Date])=MONTH(DATEVALUE("1"&amp;$B$13&amp;"2000")))*(F49=Transaction[Catégorie]))*Transaction[Montant])),"")</f>
        <v>0</v>
      </c>
      <c r="H49" s="35">
        <f>IFERROR(IF($B$13="Tous les mois",VLOOKUP(F49,Dépense_budget[],14,FALSE),INDEX(Dépense_budget[[Janvier]:[Décembre]],MATCH(F49,Dépense_budget[Dépense],0),MATCH($B$13,Facture_budget[[#Headers],[Janvier]:[Décembre]],0))),"")</f>
        <v>150</v>
      </c>
      <c r="J49" s="29"/>
      <c r="K49" s="37" cm="1">
        <f t="array" ref="K49">IFERROR(IF($B$13="Tous les mois",SUMIF(Transaction[Catégorie],J49,Transaction[Montant]),SUMPRODUCT((MONTH(Transaction[Date])=MONTH(DATEVALUE("1"&amp;$B$13&amp;"2000")))*(J49=Transaction[Catégorie])*Transaction[Montant])),"")</f>
        <v>0</v>
      </c>
      <c r="L49" s="35" t="str">
        <f>IFERROR(IF($B$13="Tous les mois",VLOOKUP(J49,Facture_budget[],14,FALSE),INDEX(Facture_budget[[Janvier]:[Décembre]],MATCH(J49,Facture_budget[Facture],0),MATCH($B$13,Epargne_budget[[#Headers],[Janvier]:[Décembre]],0))),"")</f>
        <v/>
      </c>
      <c r="N49" s="29"/>
      <c r="O49" s="37" cm="1">
        <f t="array" ref="O49">IFERROR(IF($B$13="Tous les mois",SUMIF(Transaction[Catégorie],N49,Transaction[Montant]),SUMPRODUCT(((MONTH(Transaction[Date])=MONTH(DATEVALUE("1"&amp;$B$13&amp;"2000")))*(N49=Transaction[Catégorie]))*Transaction[Montant])),"")</f>
        <v>0</v>
      </c>
      <c r="P49" s="35" t="str">
        <f>IFERROR(IF($B$13="Tous les mois",VLOOKUP(N49,Crédit_budget[],14,FALSE),INDEX(Crédit_budget[[Janvier]:[Décembre]],MATCH(N49,Crédit_budget[Crédit],0),MATCH($B$13,Facture_budget[[#Headers],[Janvier]:[Décembre]],0))),"")</f>
        <v/>
      </c>
      <c r="R49" s="29"/>
      <c r="S49" s="36" cm="1">
        <f t="array" ref="S49">IFERROR(IF($B$13="Tous les mois",SUMIF(Transaction[Catégorie],R49,Transaction[Montant]),SUMPRODUCT(((MONTH(Transaction[Date])=MONTH(DATEVALUE("1"&amp;$B$13&amp;"2000")))*(R49=Transaction[Catégorie]))*Transaction[Montant])),"")</f>
        <v>0</v>
      </c>
      <c r="T49" s="35" t="str">
        <f>IFERROR(IF($B$13="Tous les mois",VLOOKUP(R49,Epargne_budget[],14,FALSE),INDEX(Epargne_budget[[Janvier]:[Décembre]],MATCH(R49,Epargne_budget[Epargne],0),MATCH($B$13,Facture_budget[[#Headers],[Janvier]:[Décembre]],0))),"")</f>
        <v/>
      </c>
    </row>
    <row r="50" spans="2:20" ht="19.95" customHeight="1" x14ac:dyDescent="0.3">
      <c r="B50" s="29"/>
      <c r="C50" s="38" cm="1">
        <f t="array" ref="C50">IFERROR(IF($B$13="Tous les mois",SUMIF(Transaction[Catégorie],B50,Transaction[Montant]),SUMPRODUCT((MONTH(Transaction[Date])=MONTH(DATEVALUE("1"&amp;$B$13&amp;"2000")))*(B50=Transaction[Catégorie])*Transaction[Montant])),"")</f>
        <v>0</v>
      </c>
      <c r="D50" s="35" t="str">
        <f>IFERROR(IF($B$13="Tous les mois",VLOOKUP(B50,Revenu_budget[],14,FALSE),INDEX(Revenu_budget[[Janvier]:[Décembre]],MATCH(B50,Revenu_budget[Revenu],0),MATCH($B$13,Facture_budget[[#Headers],[Janvier]:[Décembre]],0))),"")</f>
        <v/>
      </c>
      <c r="F50" s="29" t="s">
        <v>25</v>
      </c>
      <c r="G50" s="37" cm="1">
        <f t="array" ref="G50">IFERROR(IF($B$13="Tous les mois",SUMIF(Transaction[Catégorie],F50,Transaction[Montant]),SUMPRODUCT(((MONTH(Transaction[Date])=MONTH(DATEVALUE("1"&amp;$B$13&amp;"2000")))*(F50=Transaction[Catégorie]))*Transaction[Montant])),"")</f>
        <v>0</v>
      </c>
      <c r="H50" s="35">
        <f>IFERROR(IF($B$13="Tous les mois",VLOOKUP(F50,Dépense_budget[],14,FALSE),INDEX(Dépense_budget[[Janvier]:[Décembre]],MATCH(F50,Dépense_budget[Dépense],0),MATCH($B$13,Facture_budget[[#Headers],[Janvier]:[Décembre]],0))),"")</f>
        <v>200</v>
      </c>
      <c r="J50" s="29"/>
      <c r="K50" s="37" cm="1">
        <f t="array" ref="K50">IFERROR(IF($B$13="Tous les mois",SUMIF(Transaction[Catégorie],J50,Transaction[Montant]),SUMPRODUCT((MONTH(Transaction[Date])=MONTH(DATEVALUE("1"&amp;$B$13&amp;"2000")))*(J50=Transaction[Catégorie])*Transaction[Montant])),"")</f>
        <v>0</v>
      </c>
      <c r="L50" s="35" t="str">
        <f>IFERROR(IF($B$13="Tous les mois",VLOOKUP(J50,Facture_budget[],14,FALSE),INDEX(Facture_budget[[Janvier]:[Décembre]],MATCH(J50,Facture_budget[Facture],0),MATCH($B$13,Epargne_budget[[#Headers],[Janvier]:[Décembre]],0))),"")</f>
        <v/>
      </c>
      <c r="N50" s="29"/>
      <c r="O50" s="37" cm="1">
        <f t="array" ref="O50">IFERROR(IF($B$13="Tous les mois",SUMIF(Transaction[Catégorie],N50,Transaction[Montant]),SUMPRODUCT(((MONTH(Transaction[Date])=MONTH(DATEVALUE("1"&amp;$B$13&amp;"2000")))*(N50=Transaction[Catégorie]))*Transaction[Montant])),"")</f>
        <v>0</v>
      </c>
      <c r="P50" s="35" t="str">
        <f>IFERROR(IF($B$13="Tous les mois",VLOOKUP(N50,Crédit_budget[],14,FALSE),INDEX(Crédit_budget[[Janvier]:[Décembre]],MATCH(N50,Crédit_budget[Crédit],0),MATCH($B$13,Facture_budget[[#Headers],[Janvier]:[Décembre]],0))),"")</f>
        <v/>
      </c>
      <c r="R50" s="29"/>
      <c r="S50" s="36" cm="1">
        <f t="array" ref="S50">IFERROR(IF($B$13="Tous les mois",SUMIF(Transaction[Catégorie],R50,Transaction[Montant]),SUMPRODUCT(((MONTH(Transaction[Date])=MONTH(DATEVALUE("1"&amp;$B$13&amp;"2000")))*(R50=Transaction[Catégorie]))*Transaction[Montant])),"")</f>
        <v>0</v>
      </c>
      <c r="T50" s="35" t="str">
        <f>IFERROR(IF($B$13="Tous les mois",VLOOKUP(R50,Epargne_budget[],14,FALSE),INDEX(Epargne_budget[[Janvier]:[Décembre]],MATCH(R50,Epargne_budget[Epargne],0),MATCH($B$13,Facture_budget[[#Headers],[Janvier]:[Décembre]],0))),"")</f>
        <v/>
      </c>
    </row>
    <row r="51" spans="2:20" ht="19.95" customHeight="1" thickBot="1" x14ac:dyDescent="0.35">
      <c r="B51" s="34"/>
      <c r="C51" s="38" cm="1">
        <f t="array" ref="C51">IFERROR(IF($B$13="Tous les mois",SUMIF(Transaction[Catégorie],B51,Transaction[Montant]),SUMPRODUCT((MONTH(Transaction[Date])=MONTH(DATEVALUE("1"&amp;$B$13&amp;"2000")))*(B51=Transaction[Catégorie])*Transaction[Montant])),"")</f>
        <v>0</v>
      </c>
      <c r="D51" s="35" t="str">
        <f>IFERROR(IF($B$13="Tous les mois",VLOOKUP(B51,Revenu_budget[],14,FALSE),INDEX(Revenu_budget[[Janvier]:[Décembre]],MATCH(B51,Revenu_budget[Revenu],0),MATCH($B$13,Facture_budget[[#Headers],[Janvier]:[Décembre]],0))),"")</f>
        <v/>
      </c>
      <c r="F51" s="34"/>
      <c r="G51" s="37" cm="1">
        <f t="array" ref="G51">IFERROR(IF($B$13="Tous les mois",SUMIF(Transaction[Catégorie],F51,Transaction[Montant]),SUMPRODUCT(((MONTH(Transaction[Date])=MONTH(DATEVALUE("1"&amp;$B$13&amp;"2000")))*(F51=Transaction[Catégorie]))*Transaction[Montant])),"")</f>
        <v>0</v>
      </c>
      <c r="H51" s="35" t="str">
        <f>IFERROR(IF($B$13="Tous les mois",VLOOKUP(F51,Dépense_budget[],14,FALSE),INDEX(Dépense_budget[[Janvier]:[Décembre]],MATCH(F51,Dépense_budget[Dépense],0),MATCH($B$13,Facture_budget[[#Headers],[Janvier]:[Décembre]],0))),"")</f>
        <v/>
      </c>
      <c r="J51" s="34"/>
      <c r="K51" s="37" cm="1">
        <f t="array" ref="K51">IFERROR(IF($B$13="Tous les mois",SUMIF(Transaction[Catégorie],J51,Transaction[Montant]),SUMPRODUCT((MONTH(Transaction[Date])=MONTH(DATEVALUE("1"&amp;$B$13&amp;"2000")))*(J51=Transaction[Catégorie])*Transaction[Montant])),"")</f>
        <v>0</v>
      </c>
      <c r="L51" s="35" t="str">
        <f>IFERROR(IF($B$13="Tous les mois",VLOOKUP(J51,Facture_budget[],14,FALSE),INDEX(Facture_budget[[Janvier]:[Décembre]],MATCH(J51,Facture_budget[Facture],0),MATCH($B$13,Epargne_budget[[#Headers],[Janvier]:[Décembre]],0))),"")</f>
        <v/>
      </c>
      <c r="N51" s="34"/>
      <c r="O51" s="37" cm="1">
        <f t="array" ref="O51">IFERROR(IF($B$13="Tous les mois",SUMIF(Transaction[Catégorie],N51,Transaction[Montant]),SUMPRODUCT(((MONTH(Transaction[Date])=MONTH(DATEVALUE("1"&amp;$B$13&amp;"2000")))*(N51=Transaction[Catégorie]))*Transaction[Montant])),"")</f>
        <v>0</v>
      </c>
      <c r="P51" s="35" t="str">
        <f>IFERROR(IF($B$13="Tous les mois",VLOOKUP(N51,Crédit_budget[],14,FALSE),INDEX(Crédit_budget[[Janvier]:[Décembre]],MATCH(N51,Crédit_budget[Crédit],0),MATCH($B$13,Facture_budget[[#Headers],[Janvier]:[Décembre]],0))),"")</f>
        <v/>
      </c>
      <c r="R51" s="34"/>
      <c r="S51" s="36" cm="1">
        <f t="array" ref="S51">IFERROR(IF($B$13="Tous les mois",SUMIF(Transaction[Catégorie],R51,Transaction[Montant]),SUMPRODUCT(((MONTH(Transaction[Date])=MONTH(DATEVALUE("1"&amp;$B$13&amp;"2000")))*(R51=Transaction[Catégorie]))*Transaction[Montant])),"")</f>
        <v>0</v>
      </c>
      <c r="T51" s="35" t="str">
        <f>IFERROR(IF($B$13="Tous les mois",VLOOKUP(R51,Epargne_budget[],14,FALSE),INDEX(Epargne_budget[[Janvier]:[Décembre]],MATCH(R51,Epargne_budget[Epargne],0),MATCH($B$13,Facture_budget[[#Headers],[Janvier]:[Décembre]],0))),"")</f>
        <v/>
      </c>
    </row>
    <row r="52" spans="2:20" ht="19.95" customHeight="1" x14ac:dyDescent="0.3">
      <c r="B52" s="31" t="s">
        <v>1</v>
      </c>
      <c r="C52" s="44">
        <f>+SUM(C43:C51)</f>
        <v>0</v>
      </c>
      <c r="D52" s="44">
        <f>+SUM(D43:D51)</f>
        <v>4300</v>
      </c>
      <c r="E52" s="45"/>
      <c r="F52" s="31" t="s">
        <v>1</v>
      </c>
      <c r="G52" s="44">
        <f>+SUM(G43:G51)</f>
        <v>500</v>
      </c>
      <c r="H52" s="44">
        <f>+SUM(H43:H51)</f>
        <v>4510</v>
      </c>
      <c r="J52" s="31" t="s">
        <v>1</v>
      </c>
      <c r="K52" s="44">
        <f>SUM(K43:K51)</f>
        <v>0</v>
      </c>
      <c r="L52" s="44">
        <f>+SUM(L43:L51)</f>
        <v>145</v>
      </c>
      <c r="M52" s="45"/>
      <c r="N52" s="31" t="s">
        <v>1</v>
      </c>
      <c r="O52" s="44">
        <f>SUM(O43:O51)</f>
        <v>100</v>
      </c>
      <c r="P52" s="44">
        <f>SUM(P43:P51)</f>
        <v>3940</v>
      </c>
      <c r="Q52" s="45"/>
      <c r="R52" s="31" t="s">
        <v>1</v>
      </c>
      <c r="S52" s="44">
        <f>SUM(S43:S51)</f>
        <v>0</v>
      </c>
      <c r="T52" s="44">
        <f>SUM(T43:T51)</f>
        <v>490</v>
      </c>
    </row>
    <row r="53" spans="2:20" ht="19.95" customHeight="1" x14ac:dyDescent="0.3">
      <c r="B53" s="54"/>
      <c r="C53" s="53"/>
      <c r="D53" s="53"/>
      <c r="E53" s="45"/>
      <c r="F53" s="54"/>
      <c r="G53" s="53"/>
      <c r="H53" s="53"/>
      <c r="J53" s="54"/>
      <c r="K53" s="53"/>
      <c r="L53" s="53"/>
      <c r="M53" s="45"/>
      <c r="N53" s="54"/>
      <c r="O53" s="53"/>
      <c r="P53" s="53"/>
      <c r="Q53" s="45"/>
      <c r="R53" s="54"/>
      <c r="S53" s="53"/>
      <c r="T53" s="53"/>
    </row>
    <row r="54" spans="2:20" ht="19.95" customHeight="1" x14ac:dyDescent="0.3">
      <c r="B54" s="54"/>
      <c r="C54" s="53"/>
      <c r="D54" s="53"/>
      <c r="E54" s="45"/>
      <c r="F54" s="54"/>
      <c r="G54" s="53"/>
      <c r="H54" s="53"/>
      <c r="J54" s="54"/>
      <c r="K54" s="53"/>
      <c r="L54" s="53"/>
      <c r="M54" s="45"/>
      <c r="N54" s="54"/>
      <c r="O54" s="53"/>
      <c r="P54" s="53"/>
      <c r="Q54" s="45"/>
      <c r="R54" s="54"/>
      <c r="S54" s="53"/>
      <c r="T54" s="53"/>
    </row>
    <row r="55" spans="2:20" ht="19.95" customHeight="1" x14ac:dyDescent="0.3"/>
  </sheetData>
  <mergeCells count="1">
    <mergeCell ref="B13:C1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60AA3-938A-4D33-98D8-F8E97042CC7C}">
  <sheetPr codeName="Sheet2"/>
  <dimension ref="B5:F54"/>
  <sheetViews>
    <sheetView showGridLines="0" topLeftCell="A5" zoomScale="69" zoomScaleNormal="100" workbookViewId="0">
      <selection activeCell="C6" sqref="C6"/>
    </sheetView>
  </sheetViews>
  <sheetFormatPr defaultRowHeight="14.4" x14ac:dyDescent="0.3"/>
  <cols>
    <col min="2" max="5" width="26.77734375" customWidth="1"/>
    <col min="6" max="6" width="32.88671875" customWidth="1"/>
  </cols>
  <sheetData>
    <row r="5" spans="2:6" ht="15" thickBot="1" x14ac:dyDescent="0.35"/>
    <row r="6" spans="2:6" s="1" customFormat="1" ht="24" customHeight="1" thickTop="1" thickBot="1" x14ac:dyDescent="0.3">
      <c r="B6" s="16" t="s">
        <v>41</v>
      </c>
      <c r="C6" s="19">
        <v>45681</v>
      </c>
      <c r="D6" s="17" t="s">
        <v>44</v>
      </c>
      <c r="E6" s="21"/>
    </row>
    <row r="7" spans="2:6" s="1" customFormat="1" ht="24" customHeight="1" thickTop="1" thickBot="1" x14ac:dyDescent="0.3">
      <c r="B7" s="16" t="s">
        <v>42</v>
      </c>
      <c r="C7" s="18"/>
      <c r="D7" s="17" t="s">
        <v>43</v>
      </c>
      <c r="E7" s="20"/>
    </row>
    <row r="8" spans="2:6" s="1" customFormat="1" ht="24" customHeight="1" thickTop="1" x14ac:dyDescent="0.25">
      <c r="B8" s="16" t="s">
        <v>45</v>
      </c>
      <c r="C8" s="76"/>
      <c r="D8" s="76"/>
      <c r="E8" s="76"/>
    </row>
    <row r="10" spans="2:6" ht="24" customHeight="1" x14ac:dyDescent="0.3">
      <c r="B10" s="77" t="s">
        <v>46</v>
      </c>
      <c r="C10" s="78"/>
      <c r="D10" s="78"/>
    </row>
    <row r="11" spans="2:6" ht="24" customHeight="1" thickBot="1" x14ac:dyDescent="0.35">
      <c r="B11" s="27" t="s">
        <v>41</v>
      </c>
      <c r="C11" s="27" t="s">
        <v>44</v>
      </c>
      <c r="D11" s="27" t="s">
        <v>42</v>
      </c>
      <c r="E11" s="27" t="s">
        <v>43</v>
      </c>
      <c r="F11" s="27" t="s">
        <v>45</v>
      </c>
    </row>
    <row r="12" spans="2:6" ht="24" customHeight="1" x14ac:dyDescent="0.3">
      <c r="B12" s="22">
        <v>45681</v>
      </c>
      <c r="C12" s="23" t="s">
        <v>35</v>
      </c>
      <c r="D12" s="23" t="s">
        <v>60</v>
      </c>
      <c r="E12" s="24">
        <v>100</v>
      </c>
      <c r="F12" s="23"/>
    </row>
    <row r="13" spans="2:6" ht="24" customHeight="1" x14ac:dyDescent="0.3">
      <c r="B13" s="22">
        <v>45678</v>
      </c>
      <c r="C13" s="23" t="s">
        <v>17</v>
      </c>
      <c r="D13" s="23" t="s">
        <v>23</v>
      </c>
      <c r="E13" s="24">
        <v>500</v>
      </c>
      <c r="F13" s="23"/>
    </row>
    <row r="14" spans="2:6" ht="24" customHeight="1" x14ac:dyDescent="0.3">
      <c r="B14" s="22">
        <v>45770</v>
      </c>
      <c r="C14" s="23" t="s">
        <v>17</v>
      </c>
      <c r="D14" s="23" t="s">
        <v>20</v>
      </c>
      <c r="E14" s="24">
        <v>500</v>
      </c>
      <c r="F14" s="23"/>
    </row>
    <row r="15" spans="2:6" ht="24" customHeight="1" x14ac:dyDescent="0.3">
      <c r="B15" s="22">
        <v>45860</v>
      </c>
      <c r="C15" s="23" t="s">
        <v>54</v>
      </c>
      <c r="D15" s="23" t="s">
        <v>14</v>
      </c>
      <c r="E15" s="24">
        <v>300</v>
      </c>
      <c r="F15" s="23"/>
    </row>
    <row r="16" spans="2:6" ht="24" customHeight="1" x14ac:dyDescent="0.3">
      <c r="B16" s="22">
        <v>45800</v>
      </c>
      <c r="C16" s="23" t="s">
        <v>40</v>
      </c>
      <c r="D16" s="23" t="s">
        <v>36</v>
      </c>
      <c r="E16" s="24">
        <v>300</v>
      </c>
      <c r="F16" s="23"/>
    </row>
    <row r="17" spans="2:6" ht="24" customHeight="1" x14ac:dyDescent="0.3">
      <c r="B17" s="22">
        <v>45800</v>
      </c>
      <c r="C17" s="23" t="s">
        <v>40</v>
      </c>
      <c r="D17" s="23" t="s">
        <v>39</v>
      </c>
      <c r="E17" s="24">
        <v>150</v>
      </c>
      <c r="F17" s="23"/>
    </row>
    <row r="18" spans="2:6" ht="24" customHeight="1" x14ac:dyDescent="0.3">
      <c r="B18" s="22">
        <v>45800</v>
      </c>
      <c r="C18" s="23" t="s">
        <v>35</v>
      </c>
      <c r="D18" s="23" t="s">
        <v>33</v>
      </c>
      <c r="E18" s="24">
        <v>300</v>
      </c>
      <c r="F18" s="23"/>
    </row>
    <row r="19" spans="2:6" ht="24" customHeight="1" x14ac:dyDescent="0.3">
      <c r="B19" s="22">
        <v>45800</v>
      </c>
      <c r="C19" s="23" t="s">
        <v>26</v>
      </c>
      <c r="D19" s="23" t="s">
        <v>31</v>
      </c>
      <c r="E19" s="24">
        <v>25</v>
      </c>
      <c r="F19" s="23"/>
    </row>
    <row r="20" spans="2:6" ht="24" customHeight="1" x14ac:dyDescent="0.3">
      <c r="B20" s="22">
        <v>45800</v>
      </c>
      <c r="C20" s="23" t="s">
        <v>26</v>
      </c>
      <c r="D20" s="23" t="s">
        <v>30</v>
      </c>
      <c r="E20" s="24">
        <v>50</v>
      </c>
      <c r="F20" s="23"/>
    </row>
    <row r="21" spans="2:6" ht="24" customHeight="1" x14ac:dyDescent="0.3">
      <c r="B21" s="22">
        <v>45800</v>
      </c>
      <c r="C21" s="23" t="s">
        <v>26</v>
      </c>
      <c r="D21" s="23" t="s">
        <v>28</v>
      </c>
      <c r="E21" s="24">
        <v>80</v>
      </c>
      <c r="F21" s="23"/>
    </row>
    <row r="22" spans="2:6" ht="24" customHeight="1" x14ac:dyDescent="0.3">
      <c r="B22" s="22">
        <v>45860</v>
      </c>
      <c r="C22" s="23" t="s">
        <v>17</v>
      </c>
      <c r="D22" s="23" t="s">
        <v>25</v>
      </c>
      <c r="E22" s="24">
        <v>200</v>
      </c>
      <c r="F22" s="23"/>
    </row>
    <row r="23" spans="2:6" ht="24" customHeight="1" x14ac:dyDescent="0.3">
      <c r="B23" s="22">
        <v>45860</v>
      </c>
      <c r="C23" s="23" t="s">
        <v>17</v>
      </c>
      <c r="D23" s="23" t="s">
        <v>23</v>
      </c>
      <c r="E23" s="24">
        <v>100</v>
      </c>
      <c r="F23" s="23"/>
    </row>
    <row r="24" spans="2:6" ht="24" customHeight="1" x14ac:dyDescent="0.3">
      <c r="B24" s="22">
        <v>45860</v>
      </c>
      <c r="C24" s="23" t="s">
        <v>17</v>
      </c>
      <c r="D24" s="23" t="s">
        <v>22</v>
      </c>
      <c r="E24" s="24">
        <v>150</v>
      </c>
      <c r="F24" s="23"/>
    </row>
    <row r="25" spans="2:6" ht="24" customHeight="1" x14ac:dyDescent="0.3">
      <c r="B25" s="22">
        <v>45860</v>
      </c>
      <c r="C25" s="23" t="s">
        <v>17</v>
      </c>
      <c r="D25" s="23" t="s">
        <v>19</v>
      </c>
      <c r="E25" s="24">
        <v>100</v>
      </c>
      <c r="F25" s="23"/>
    </row>
    <row r="26" spans="2:6" ht="24" customHeight="1" x14ac:dyDescent="0.3">
      <c r="B26" s="22">
        <v>45860</v>
      </c>
      <c r="C26" s="23" t="s">
        <v>17</v>
      </c>
      <c r="D26" s="23" t="s">
        <v>18</v>
      </c>
      <c r="E26" s="24">
        <v>200</v>
      </c>
      <c r="F26" s="23"/>
    </row>
    <row r="27" spans="2:6" ht="24" customHeight="1" x14ac:dyDescent="0.3">
      <c r="B27" s="22">
        <v>45860</v>
      </c>
      <c r="C27" s="23" t="s">
        <v>40</v>
      </c>
      <c r="D27" s="23" t="s">
        <v>39</v>
      </c>
      <c r="E27" s="24">
        <v>150</v>
      </c>
      <c r="F27" s="23"/>
    </row>
    <row r="28" spans="2:6" ht="24" customHeight="1" x14ac:dyDescent="0.3">
      <c r="B28" s="22">
        <v>45860</v>
      </c>
      <c r="C28" s="23" t="s">
        <v>35</v>
      </c>
      <c r="D28" s="23" t="s">
        <v>32</v>
      </c>
      <c r="E28" s="24">
        <v>200</v>
      </c>
      <c r="F28" s="23"/>
    </row>
    <row r="29" spans="2:6" ht="24" customHeight="1" x14ac:dyDescent="0.3">
      <c r="B29" s="22">
        <v>45860</v>
      </c>
      <c r="C29" s="23" t="s">
        <v>26</v>
      </c>
      <c r="D29" s="23" t="s">
        <v>31</v>
      </c>
      <c r="E29" s="24">
        <v>100</v>
      </c>
      <c r="F29" s="23"/>
    </row>
    <row r="30" spans="2:6" ht="24" customHeight="1" x14ac:dyDescent="0.3">
      <c r="B30" s="22">
        <v>45860</v>
      </c>
      <c r="C30" s="23" t="s">
        <v>17</v>
      </c>
      <c r="D30" s="23" t="s">
        <v>24</v>
      </c>
      <c r="E30" s="24">
        <v>100</v>
      </c>
      <c r="F30" s="23"/>
    </row>
    <row r="31" spans="2:6" ht="24" customHeight="1" x14ac:dyDescent="0.3">
      <c r="B31" s="22">
        <v>45860</v>
      </c>
      <c r="C31" s="23" t="s">
        <v>54</v>
      </c>
      <c r="D31" s="23" t="s">
        <v>16</v>
      </c>
      <c r="E31" s="24">
        <v>100</v>
      </c>
      <c r="F31" s="23"/>
    </row>
    <row r="32" spans="2:6" ht="24" customHeight="1" x14ac:dyDescent="0.3">
      <c r="B32" s="22">
        <v>45859</v>
      </c>
      <c r="C32" s="23" t="s">
        <v>26</v>
      </c>
      <c r="D32" s="23" t="s">
        <v>27</v>
      </c>
      <c r="E32" s="24">
        <v>100</v>
      </c>
      <c r="F32" s="23"/>
    </row>
    <row r="33" spans="2:6" ht="24" customHeight="1" x14ac:dyDescent="0.3">
      <c r="B33" s="22">
        <v>45859</v>
      </c>
      <c r="C33" s="23" t="s">
        <v>35</v>
      </c>
      <c r="D33" s="23" t="s">
        <v>34</v>
      </c>
      <c r="E33" s="24">
        <v>200</v>
      </c>
      <c r="F33" s="23"/>
    </row>
    <row r="34" spans="2:6" ht="24" customHeight="1" x14ac:dyDescent="0.3">
      <c r="B34" s="22">
        <v>45859</v>
      </c>
      <c r="C34" s="23" t="s">
        <v>40</v>
      </c>
      <c r="D34" s="23" t="s">
        <v>37</v>
      </c>
      <c r="E34" s="24">
        <v>80</v>
      </c>
      <c r="F34" s="23"/>
    </row>
    <row r="35" spans="2:6" ht="24" customHeight="1" x14ac:dyDescent="0.3">
      <c r="B35" s="22">
        <v>45859</v>
      </c>
      <c r="C35" s="23" t="s">
        <v>17</v>
      </c>
      <c r="D35" s="23" t="s">
        <v>20</v>
      </c>
      <c r="E35" s="24">
        <v>200</v>
      </c>
      <c r="F35" s="23"/>
    </row>
    <row r="36" spans="2:6" ht="24" customHeight="1" x14ac:dyDescent="0.3">
      <c r="B36" s="22">
        <v>45859</v>
      </c>
      <c r="C36" s="23" t="s">
        <v>54</v>
      </c>
      <c r="D36" s="23" t="s">
        <v>15</v>
      </c>
      <c r="E36" s="24">
        <v>100</v>
      </c>
      <c r="F36" s="23"/>
    </row>
    <row r="37" spans="2:6" ht="24" customHeight="1" x14ac:dyDescent="0.3">
      <c r="B37" s="22">
        <v>45800</v>
      </c>
      <c r="C37" s="23" t="s">
        <v>40</v>
      </c>
      <c r="D37" s="23" t="s">
        <v>38</v>
      </c>
      <c r="E37" s="24">
        <v>250</v>
      </c>
      <c r="F37" s="23"/>
    </row>
    <row r="38" spans="2:6" ht="24" customHeight="1" x14ac:dyDescent="0.3">
      <c r="B38" s="22">
        <v>45800</v>
      </c>
      <c r="C38" s="23" t="s">
        <v>35</v>
      </c>
      <c r="D38" s="23" t="s">
        <v>33</v>
      </c>
      <c r="E38" s="24">
        <v>70</v>
      </c>
      <c r="F38" s="23"/>
    </row>
    <row r="39" spans="2:6" ht="24" customHeight="1" x14ac:dyDescent="0.3">
      <c r="B39" s="22">
        <v>45800</v>
      </c>
      <c r="C39" s="23" t="s">
        <v>54</v>
      </c>
      <c r="D39" s="23" t="s">
        <v>14</v>
      </c>
      <c r="E39" s="24">
        <v>300</v>
      </c>
      <c r="F39" s="23"/>
    </row>
    <row r="40" spans="2:6" ht="24" customHeight="1" x14ac:dyDescent="0.3">
      <c r="B40" s="22">
        <v>45800</v>
      </c>
      <c r="C40" s="23" t="s">
        <v>26</v>
      </c>
      <c r="D40" s="23" t="s">
        <v>29</v>
      </c>
      <c r="E40" s="24">
        <v>10</v>
      </c>
      <c r="F40" s="23"/>
    </row>
    <row r="41" spans="2:6" ht="24" customHeight="1" x14ac:dyDescent="0.3">
      <c r="B41" s="28">
        <v>45800</v>
      </c>
      <c r="C41" s="25" t="s">
        <v>17</v>
      </c>
      <c r="D41" s="25" t="s">
        <v>21</v>
      </c>
      <c r="E41" s="26">
        <v>30</v>
      </c>
      <c r="F41" s="25"/>
    </row>
    <row r="42" spans="2:6" ht="24" customHeight="1" x14ac:dyDescent="0.3">
      <c r="B42" s="39" t="s">
        <v>1</v>
      </c>
      <c r="C42" s="39"/>
      <c r="D42" s="39"/>
      <c r="E42" s="40">
        <f>SUBTOTAL(109,Transaction[Montant])</f>
        <v>5045</v>
      </c>
      <c r="F42" s="39"/>
    </row>
    <row r="43" spans="2:6" ht="24" customHeight="1" x14ac:dyDescent="0.3"/>
    <row r="44" spans="2:6" ht="24" customHeight="1" x14ac:dyDescent="0.3"/>
    <row r="45" spans="2:6" ht="24" customHeight="1" x14ac:dyDescent="0.3"/>
    <row r="46" spans="2:6" ht="24" customHeight="1" x14ac:dyDescent="0.3"/>
    <row r="47" spans="2:6" ht="24" customHeight="1" x14ac:dyDescent="0.3"/>
    <row r="48" spans="2:6" ht="24" customHeight="1" x14ac:dyDescent="0.3"/>
    <row r="49" ht="24" customHeight="1" x14ac:dyDescent="0.3"/>
    <row r="50" ht="24" customHeight="1" x14ac:dyDescent="0.3"/>
    <row r="51" ht="24" customHeight="1" x14ac:dyDescent="0.3"/>
    <row r="52" ht="24" customHeight="1" x14ac:dyDescent="0.3"/>
    <row r="53" ht="24" customHeight="1" x14ac:dyDescent="0.3"/>
    <row r="54" ht="24" customHeight="1" x14ac:dyDescent="0.3"/>
  </sheetData>
  <mergeCells count="2">
    <mergeCell ref="C8:E8"/>
    <mergeCell ref="B10:D10"/>
  </mergeCells>
  <dataValidations count="2">
    <dataValidation type="list" allowBlank="1" showInputMessage="1" showErrorMessage="1" sqref="E6" xr:uid="{3E5BA8F3-A8CA-4510-B055-C14D02121B01}">
      <formula1>"Revenu,Dépense,Facture,Crédit,Epargne"</formula1>
    </dataValidation>
    <dataValidation type="list" allowBlank="1" showInputMessage="1" showErrorMessage="1" sqref="C7" xr:uid="{5B64B055-1F1F-48ED-812D-56B1D0A33063}">
      <formula1>INDIRECT($E$6)</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27DD5-1AA6-495D-965F-2CE1B0235B7A}">
  <sheetPr codeName="Sheet3"/>
  <dimension ref="A1:Q43"/>
  <sheetViews>
    <sheetView showGridLines="0" topLeftCell="A24" zoomScale="86" zoomScaleNormal="91" workbookViewId="0">
      <selection activeCell="A12" sqref="A12:XFD13"/>
    </sheetView>
  </sheetViews>
  <sheetFormatPr defaultRowHeight="14.4" outlineLevelRow="1" x14ac:dyDescent="0.3"/>
  <cols>
    <col min="2" max="14" width="14.77734375" customWidth="1"/>
    <col min="15" max="15" width="17.77734375" customWidth="1"/>
  </cols>
  <sheetData>
    <row r="1" spans="2:16" x14ac:dyDescent="0.3">
      <c r="O1" t="s">
        <v>0</v>
      </c>
    </row>
    <row r="5" spans="2:16" ht="21" customHeight="1" x14ac:dyDescent="0.3">
      <c r="B5" s="2" t="s">
        <v>54</v>
      </c>
      <c r="C5" s="2" t="s">
        <v>2</v>
      </c>
      <c r="D5" s="2" t="s">
        <v>3</v>
      </c>
      <c r="E5" s="2" t="s">
        <v>4</v>
      </c>
      <c r="F5" s="2" t="s">
        <v>5</v>
      </c>
      <c r="G5" s="2" t="s">
        <v>6</v>
      </c>
      <c r="H5" s="2" t="s">
        <v>7</v>
      </c>
      <c r="I5" s="2" t="s">
        <v>8</v>
      </c>
      <c r="J5" s="2" t="s">
        <v>9</v>
      </c>
      <c r="K5" s="2" t="s">
        <v>10</v>
      </c>
      <c r="L5" s="2" t="s">
        <v>11</v>
      </c>
      <c r="M5" s="2" t="s">
        <v>12</v>
      </c>
      <c r="N5" s="2" t="s">
        <v>13</v>
      </c>
      <c r="O5" s="2" t="s">
        <v>1</v>
      </c>
    </row>
    <row r="6" spans="2:16" ht="21" customHeight="1" outlineLevel="1" x14ac:dyDescent="0.3">
      <c r="B6" s="3" t="s">
        <v>14</v>
      </c>
      <c r="C6" s="4">
        <v>3000</v>
      </c>
      <c r="D6" s="4">
        <v>3000</v>
      </c>
      <c r="E6" s="4">
        <v>3000</v>
      </c>
      <c r="F6" s="4">
        <v>3000</v>
      </c>
      <c r="G6" s="4">
        <v>3000</v>
      </c>
      <c r="H6" s="4">
        <v>3000</v>
      </c>
      <c r="I6" s="4">
        <v>3000</v>
      </c>
      <c r="J6" s="4">
        <v>3000</v>
      </c>
      <c r="K6" s="4">
        <v>3000</v>
      </c>
      <c r="L6" s="4">
        <v>3000</v>
      </c>
      <c r="M6" s="4">
        <v>3000</v>
      </c>
      <c r="N6" s="4">
        <v>3000</v>
      </c>
      <c r="O6" s="5">
        <f>SUM(Revenu_budget[[#This Row],[Janvier]:[Décembre]])</f>
        <v>36000</v>
      </c>
    </row>
    <row r="7" spans="2:16" ht="21" customHeight="1" outlineLevel="1" x14ac:dyDescent="0.3">
      <c r="B7" s="6" t="s">
        <v>15</v>
      </c>
      <c r="C7" s="7">
        <v>500</v>
      </c>
      <c r="D7" s="7">
        <v>500</v>
      </c>
      <c r="E7" s="7">
        <v>500</v>
      </c>
      <c r="F7" s="7">
        <v>500</v>
      </c>
      <c r="G7" s="7">
        <v>500</v>
      </c>
      <c r="H7" s="7">
        <v>500</v>
      </c>
      <c r="I7" s="7">
        <v>500</v>
      </c>
      <c r="J7" s="7">
        <v>500</v>
      </c>
      <c r="K7" s="7">
        <v>500</v>
      </c>
      <c r="L7" s="7">
        <v>500</v>
      </c>
      <c r="M7" s="7">
        <v>500</v>
      </c>
      <c r="N7" s="7">
        <v>500</v>
      </c>
      <c r="O7" s="8">
        <f>SUM(Revenu_budget[[#This Row],[Janvier]:[Décembre]])</f>
        <v>6000</v>
      </c>
      <c r="P7" s="43"/>
    </row>
    <row r="8" spans="2:16" ht="21" customHeight="1" outlineLevel="1" x14ac:dyDescent="0.3">
      <c r="B8" s="6" t="s">
        <v>16</v>
      </c>
      <c r="C8" s="7">
        <v>300</v>
      </c>
      <c r="D8" s="7">
        <v>200</v>
      </c>
      <c r="E8" s="7">
        <v>200</v>
      </c>
      <c r="F8" s="7">
        <v>0</v>
      </c>
      <c r="G8" s="7">
        <v>300</v>
      </c>
      <c r="H8" s="7">
        <v>400</v>
      </c>
      <c r="I8" s="7">
        <v>200</v>
      </c>
      <c r="J8" s="7">
        <v>200</v>
      </c>
      <c r="K8" s="7">
        <v>300</v>
      </c>
      <c r="L8" s="7">
        <v>300</v>
      </c>
      <c r="M8" s="7">
        <v>300</v>
      </c>
      <c r="N8" s="7">
        <v>300</v>
      </c>
      <c r="O8" s="8">
        <f>SUM(Revenu_budget[[#This Row],[Janvier]:[Décembre]])</f>
        <v>3000</v>
      </c>
    </row>
    <row r="9" spans="2:16" ht="21" customHeight="1" x14ac:dyDescent="0.3">
      <c r="B9" s="6" t="s">
        <v>61</v>
      </c>
      <c r="C9" s="7">
        <v>500</v>
      </c>
      <c r="D9" s="7">
        <v>500</v>
      </c>
      <c r="E9" s="7">
        <v>500</v>
      </c>
      <c r="F9" s="7">
        <v>500</v>
      </c>
      <c r="G9" s="7">
        <v>500</v>
      </c>
      <c r="H9" s="7">
        <v>500</v>
      </c>
      <c r="I9" s="7">
        <v>500</v>
      </c>
      <c r="J9" s="7">
        <v>500</v>
      </c>
      <c r="K9" s="7">
        <v>500</v>
      </c>
      <c r="L9" s="7">
        <v>500</v>
      </c>
      <c r="M9" s="7">
        <v>500</v>
      </c>
      <c r="N9" s="7">
        <v>500</v>
      </c>
      <c r="O9" s="8">
        <f>SUM(Revenu_budget[[#This Row],[Janvier]:[Décembre]])</f>
        <v>6000</v>
      </c>
    </row>
    <row r="10" spans="2:16" x14ac:dyDescent="0.3">
      <c r="B10" s="69" t="s">
        <v>1</v>
      </c>
      <c r="C10" s="61">
        <f>SUBTOTAL(109,Revenu_budget[Janvier])</f>
        <v>4300</v>
      </c>
      <c r="D10" s="61">
        <f>SUBTOTAL(109,Revenu_budget[Février])</f>
        <v>4200</v>
      </c>
      <c r="E10" s="61">
        <f>SUBTOTAL(109,Revenu_budget[Mars])</f>
        <v>4200</v>
      </c>
      <c r="F10" s="61">
        <f>SUBTOTAL(109,Revenu_budget[Avril])</f>
        <v>4000</v>
      </c>
      <c r="G10" s="61">
        <f>SUBTOTAL(109,Revenu_budget[Mai])</f>
        <v>4300</v>
      </c>
      <c r="H10" s="61">
        <f>SUBTOTAL(109,Revenu_budget[Juin])</f>
        <v>4400</v>
      </c>
      <c r="I10" s="61">
        <f>SUBTOTAL(109,Revenu_budget[Juillet])</f>
        <v>4200</v>
      </c>
      <c r="J10" s="61">
        <f>SUBTOTAL(109,Revenu_budget[Août])</f>
        <v>4200</v>
      </c>
      <c r="K10" s="61">
        <f>SUBTOTAL(109,Revenu_budget[Septembre])</f>
        <v>4300</v>
      </c>
      <c r="L10" s="61">
        <f>SUBTOTAL(109,Revenu_budget[Octobre])</f>
        <v>4300</v>
      </c>
      <c r="M10" s="61">
        <f>SUBTOTAL(109,Revenu_budget[Novembre])</f>
        <v>4300</v>
      </c>
      <c r="N10" s="61">
        <f>SUBTOTAL(109,Revenu_budget[Décembre])</f>
        <v>4300</v>
      </c>
      <c r="O10" s="71">
        <f>SUBTOTAL(109,Revenu_budget[Total])</f>
        <v>51000</v>
      </c>
    </row>
    <row r="12" spans="2:16" ht="21" customHeight="1" outlineLevel="1" x14ac:dyDescent="0.3">
      <c r="B12" s="9" t="s">
        <v>17</v>
      </c>
      <c r="C12" s="9" t="s">
        <v>2</v>
      </c>
      <c r="D12" s="9" t="s">
        <v>3</v>
      </c>
      <c r="E12" s="9" t="s">
        <v>4</v>
      </c>
      <c r="F12" s="9" t="s">
        <v>5</v>
      </c>
      <c r="G12" s="9" t="s">
        <v>6</v>
      </c>
      <c r="H12" s="9" t="s">
        <v>7</v>
      </c>
      <c r="I12" s="9" t="s">
        <v>8</v>
      </c>
      <c r="J12" s="9" t="s">
        <v>9</v>
      </c>
      <c r="K12" s="9" t="s">
        <v>10</v>
      </c>
      <c r="L12" s="9" t="s">
        <v>11</v>
      </c>
      <c r="M12" s="9" t="s">
        <v>12</v>
      </c>
      <c r="N12" s="9" t="s">
        <v>13</v>
      </c>
      <c r="O12" s="9" t="s">
        <v>1</v>
      </c>
    </row>
    <row r="13" spans="2:16" ht="21" customHeight="1" outlineLevel="1" x14ac:dyDescent="0.3">
      <c r="B13" s="3" t="s">
        <v>18</v>
      </c>
      <c r="C13" s="4">
        <v>3000</v>
      </c>
      <c r="D13" s="4">
        <v>3000</v>
      </c>
      <c r="E13" s="4">
        <v>3000</v>
      </c>
      <c r="F13" s="4">
        <v>3000</v>
      </c>
      <c r="G13" s="4">
        <v>3000</v>
      </c>
      <c r="H13" s="4">
        <v>3000</v>
      </c>
      <c r="I13" s="4">
        <v>3000</v>
      </c>
      <c r="J13" s="4">
        <v>3000</v>
      </c>
      <c r="K13" s="4">
        <v>3000</v>
      </c>
      <c r="L13" s="4">
        <v>3000</v>
      </c>
      <c r="M13" s="4">
        <v>3000</v>
      </c>
      <c r="N13" s="4">
        <v>3000</v>
      </c>
      <c r="O13" s="5">
        <f>SUM(Dépense_budget[[#This Row],[Janvier]:[Décembre]])</f>
        <v>36000</v>
      </c>
    </row>
    <row r="14" spans="2:16" ht="21" customHeight="1" outlineLevel="1" x14ac:dyDescent="0.3">
      <c r="B14" s="6" t="s">
        <v>19</v>
      </c>
      <c r="C14" s="7">
        <v>500</v>
      </c>
      <c r="D14" s="7">
        <v>500</v>
      </c>
      <c r="E14" s="7">
        <v>500</v>
      </c>
      <c r="F14" s="7">
        <v>500</v>
      </c>
      <c r="G14" s="7">
        <v>500</v>
      </c>
      <c r="H14" s="7">
        <v>500</v>
      </c>
      <c r="I14" s="7">
        <v>500</v>
      </c>
      <c r="J14" s="7">
        <v>500</v>
      </c>
      <c r="K14" s="7">
        <v>500</v>
      </c>
      <c r="L14" s="7">
        <v>500</v>
      </c>
      <c r="M14" s="7">
        <v>500</v>
      </c>
      <c r="N14" s="7">
        <v>500</v>
      </c>
      <c r="O14" s="8">
        <f>SUM(Dépense_budget[[#This Row],[Janvier]:[Décembre]])</f>
        <v>6000</v>
      </c>
    </row>
    <row r="15" spans="2:16" ht="21" customHeight="1" outlineLevel="1" x14ac:dyDescent="0.3">
      <c r="B15" s="6" t="s">
        <v>20</v>
      </c>
      <c r="C15" s="7">
        <v>300</v>
      </c>
      <c r="D15" s="7">
        <v>200</v>
      </c>
      <c r="E15" s="7">
        <v>200</v>
      </c>
      <c r="F15" s="7"/>
      <c r="G15" s="7">
        <v>300</v>
      </c>
      <c r="H15" s="7">
        <v>400</v>
      </c>
      <c r="I15" s="7">
        <v>200</v>
      </c>
      <c r="J15" s="7">
        <v>200</v>
      </c>
      <c r="K15" s="7">
        <v>300</v>
      </c>
      <c r="L15" s="7">
        <v>300</v>
      </c>
      <c r="M15" s="7">
        <v>300</v>
      </c>
      <c r="N15" s="7">
        <v>300</v>
      </c>
      <c r="O15" s="8">
        <f>SUM(Dépense_budget[[#This Row],[Janvier]:[Décembre]])</f>
        <v>3000</v>
      </c>
    </row>
    <row r="16" spans="2:16" ht="21" customHeight="1" outlineLevel="1" x14ac:dyDescent="0.3">
      <c r="B16" s="6" t="s">
        <v>21</v>
      </c>
      <c r="C16" s="7">
        <v>0</v>
      </c>
      <c r="D16" s="7">
        <v>0</v>
      </c>
      <c r="E16" s="7">
        <v>0</v>
      </c>
      <c r="F16" s="7">
        <v>0</v>
      </c>
      <c r="G16" s="7">
        <v>0</v>
      </c>
      <c r="H16" s="7">
        <v>0</v>
      </c>
      <c r="I16" s="7">
        <v>0</v>
      </c>
      <c r="J16" s="7">
        <v>0</v>
      </c>
      <c r="K16" s="7">
        <v>300</v>
      </c>
      <c r="L16" s="7">
        <v>300</v>
      </c>
      <c r="M16" s="7">
        <v>300</v>
      </c>
      <c r="N16" s="7">
        <v>300</v>
      </c>
      <c r="O16" s="8">
        <f>SUM(Dépense_budget[[#This Row],[Janvier]:[Décembre]])</f>
        <v>1200</v>
      </c>
    </row>
    <row r="17" spans="1:17" ht="21" customHeight="1" outlineLevel="1" x14ac:dyDescent="0.3">
      <c r="B17" s="6" t="s">
        <v>22</v>
      </c>
      <c r="C17" s="7">
        <v>60</v>
      </c>
      <c r="D17" s="7">
        <v>60</v>
      </c>
      <c r="E17" s="7">
        <v>60</v>
      </c>
      <c r="F17" s="7">
        <v>60</v>
      </c>
      <c r="G17" s="7">
        <v>60</v>
      </c>
      <c r="H17" s="7">
        <v>60</v>
      </c>
      <c r="I17" s="7">
        <v>60</v>
      </c>
      <c r="J17" s="7">
        <v>60</v>
      </c>
      <c r="K17" s="7">
        <v>60</v>
      </c>
      <c r="L17" s="7">
        <v>60</v>
      </c>
      <c r="M17" s="7">
        <v>60</v>
      </c>
      <c r="N17" s="7">
        <v>60</v>
      </c>
      <c r="O17" s="8">
        <f>SUM(Dépense_budget[[#This Row],[Janvier]:[Décembre]])</f>
        <v>720</v>
      </c>
    </row>
    <row r="18" spans="1:17" ht="21" customHeight="1" outlineLevel="1" x14ac:dyDescent="0.3">
      <c r="B18" s="6" t="s">
        <v>23</v>
      </c>
      <c r="C18" s="7">
        <v>300</v>
      </c>
      <c r="D18" s="7">
        <v>300</v>
      </c>
      <c r="E18" s="7">
        <v>300</v>
      </c>
      <c r="F18" s="7">
        <v>300</v>
      </c>
      <c r="G18" s="7">
        <v>300</v>
      </c>
      <c r="H18" s="7">
        <v>300</v>
      </c>
      <c r="I18" s="7">
        <v>300</v>
      </c>
      <c r="J18" s="7">
        <v>300</v>
      </c>
      <c r="K18" s="7">
        <v>300</v>
      </c>
      <c r="L18" s="7">
        <v>300</v>
      </c>
      <c r="M18" s="7">
        <v>300</v>
      </c>
      <c r="N18" s="7">
        <v>300</v>
      </c>
      <c r="O18" s="8">
        <f>SUM(Dépense_budget[[#This Row],[Janvier]:[Décembre]])</f>
        <v>3600</v>
      </c>
    </row>
    <row r="19" spans="1:17" ht="21" customHeight="1" outlineLevel="1" x14ac:dyDescent="0.3">
      <c r="B19" s="6" t="s">
        <v>24</v>
      </c>
      <c r="C19" s="7">
        <v>150</v>
      </c>
      <c r="D19" s="7">
        <v>150</v>
      </c>
      <c r="E19" s="7">
        <v>150</v>
      </c>
      <c r="F19" s="7">
        <v>150</v>
      </c>
      <c r="G19" s="7">
        <v>150</v>
      </c>
      <c r="H19" s="7">
        <v>150</v>
      </c>
      <c r="I19" s="7">
        <v>150</v>
      </c>
      <c r="J19" s="7">
        <v>150</v>
      </c>
      <c r="K19" s="7">
        <v>150</v>
      </c>
      <c r="L19" s="7">
        <v>150</v>
      </c>
      <c r="M19" s="7">
        <v>150</v>
      </c>
      <c r="N19" s="7">
        <v>150</v>
      </c>
      <c r="O19" s="8">
        <f>SUM(Dépense_budget[[#This Row],[Janvier]:[Décembre]])</f>
        <v>1800</v>
      </c>
      <c r="Q19">
        <v>0</v>
      </c>
    </row>
    <row r="20" spans="1:17" ht="21" customHeight="1" x14ac:dyDescent="0.3">
      <c r="B20" s="6" t="s">
        <v>25</v>
      </c>
      <c r="C20" s="7">
        <v>200</v>
      </c>
      <c r="D20" s="7">
        <v>200</v>
      </c>
      <c r="E20" s="7">
        <v>200</v>
      </c>
      <c r="F20" s="7">
        <v>200</v>
      </c>
      <c r="G20" s="7">
        <v>200</v>
      </c>
      <c r="H20" s="7">
        <v>200</v>
      </c>
      <c r="I20" s="7">
        <v>200</v>
      </c>
      <c r="J20" s="7">
        <v>200</v>
      </c>
      <c r="K20" s="7">
        <v>200</v>
      </c>
      <c r="L20" s="7">
        <v>200</v>
      </c>
      <c r="M20" s="7">
        <v>200</v>
      </c>
      <c r="N20" s="7">
        <v>200</v>
      </c>
      <c r="O20" s="8">
        <f>SUM(Dépense_budget[[#This Row],[Janvier]:[Décembre]])</f>
        <v>2400</v>
      </c>
    </row>
    <row r="21" spans="1:17" x14ac:dyDescent="0.3">
      <c r="A21" s="68"/>
      <c r="B21" s="69" t="s">
        <v>1</v>
      </c>
      <c r="C21" s="61">
        <f>SUBTOTAL(109,Dépense_budget[Janvier])</f>
        <v>4510</v>
      </c>
      <c r="D21" s="61">
        <f>SUBTOTAL(109,Dépense_budget[Février])</f>
        <v>4410</v>
      </c>
      <c r="E21" s="61">
        <f>SUBTOTAL(109,Dépense_budget[Mars])</f>
        <v>4410</v>
      </c>
      <c r="F21" s="61">
        <f>SUBTOTAL(109,Dépense_budget[Avril])</f>
        <v>4210</v>
      </c>
      <c r="G21" s="61">
        <f>SUBTOTAL(109,Dépense_budget[Février])</f>
        <v>4410</v>
      </c>
      <c r="H21" s="61">
        <f>SUBTOTAL(109,Dépense_budget[Mars])</f>
        <v>4410</v>
      </c>
      <c r="I21" s="61">
        <f>SUBTOTAL(109,Dépense_budget[Avril])</f>
        <v>4210</v>
      </c>
      <c r="J21" s="61">
        <f>SUBTOTAL(109,Dépense_budget[Mai])</f>
        <v>4510</v>
      </c>
      <c r="K21" s="61">
        <f>SUBTOTAL(109,Dépense_budget[Mars])</f>
        <v>4410</v>
      </c>
      <c r="L21" s="61">
        <f>SUBTOTAL(109,Dépense_budget[Avril])</f>
        <v>4210</v>
      </c>
      <c r="M21" s="61">
        <f>SUBTOTAL(109,Dépense_budget[Février])</f>
        <v>4410</v>
      </c>
      <c r="N21" s="61">
        <f>SUBTOTAL(109,Dépense_budget[Mars])</f>
        <v>4410</v>
      </c>
      <c r="O21" s="71">
        <f>SUBTOTAL(109,Dépense_budget[Total])</f>
        <v>54720</v>
      </c>
    </row>
    <row r="23" spans="1:17" ht="21" customHeight="1" outlineLevel="1" x14ac:dyDescent="0.3">
      <c r="B23" s="9" t="s">
        <v>26</v>
      </c>
      <c r="C23" s="9" t="s">
        <v>2</v>
      </c>
      <c r="D23" s="9" t="s">
        <v>3</v>
      </c>
      <c r="E23" s="9" t="s">
        <v>4</v>
      </c>
      <c r="F23" s="9" t="s">
        <v>5</v>
      </c>
      <c r="G23" s="9" t="s">
        <v>6</v>
      </c>
      <c r="H23" s="9" t="s">
        <v>7</v>
      </c>
      <c r="I23" s="9" t="s">
        <v>8</v>
      </c>
      <c r="J23" s="9" t="s">
        <v>9</v>
      </c>
      <c r="K23" s="9" t="s">
        <v>10</v>
      </c>
      <c r="L23" s="9" t="s">
        <v>11</v>
      </c>
      <c r="M23" s="9" t="s">
        <v>12</v>
      </c>
      <c r="N23" s="9" t="s">
        <v>13</v>
      </c>
      <c r="O23" s="9" t="s">
        <v>1</v>
      </c>
    </row>
    <row r="24" spans="1:17" ht="21" customHeight="1" outlineLevel="1" x14ac:dyDescent="0.3">
      <c r="B24" s="62" t="s">
        <v>27</v>
      </c>
      <c r="C24" s="63">
        <v>80</v>
      </c>
      <c r="D24" s="63">
        <v>80</v>
      </c>
      <c r="E24" s="63">
        <v>80</v>
      </c>
      <c r="F24" s="63">
        <v>80</v>
      </c>
      <c r="G24" s="63">
        <v>80</v>
      </c>
      <c r="H24" s="63">
        <v>80</v>
      </c>
      <c r="I24" s="63">
        <v>80</v>
      </c>
      <c r="J24" s="63">
        <v>80</v>
      </c>
      <c r="K24" s="63">
        <v>80</v>
      </c>
      <c r="L24" s="63">
        <v>80</v>
      </c>
      <c r="M24" s="63">
        <v>80</v>
      </c>
      <c r="N24" s="63">
        <v>80</v>
      </c>
      <c r="O24" s="64">
        <f>SUM(Facture_budget[[#This Row],[Janvier]:[Décembre]])</f>
        <v>960</v>
      </c>
    </row>
    <row r="25" spans="1:17" ht="21" customHeight="1" outlineLevel="1" x14ac:dyDescent="0.3">
      <c r="B25" s="65" t="s">
        <v>28</v>
      </c>
      <c r="C25" s="66">
        <v>20</v>
      </c>
      <c r="D25" s="66">
        <v>20</v>
      </c>
      <c r="E25" s="66">
        <v>20</v>
      </c>
      <c r="F25" s="66">
        <v>20</v>
      </c>
      <c r="G25" s="66">
        <v>20</v>
      </c>
      <c r="H25" s="66">
        <v>20</v>
      </c>
      <c r="I25" s="66">
        <v>20</v>
      </c>
      <c r="J25" s="66">
        <v>20</v>
      </c>
      <c r="K25" s="66">
        <v>20</v>
      </c>
      <c r="L25" s="66">
        <v>20</v>
      </c>
      <c r="M25" s="66">
        <v>20</v>
      </c>
      <c r="N25" s="66">
        <v>20</v>
      </c>
      <c r="O25" s="67">
        <f>SUM(Facture_budget[[#This Row],[Janvier]:[Décembre]])</f>
        <v>240</v>
      </c>
    </row>
    <row r="26" spans="1:17" ht="21" customHeight="1" outlineLevel="1" x14ac:dyDescent="0.3">
      <c r="B26" s="65" t="s">
        <v>29</v>
      </c>
      <c r="C26" s="66">
        <v>10</v>
      </c>
      <c r="D26" s="66">
        <v>10</v>
      </c>
      <c r="E26" s="66">
        <v>10</v>
      </c>
      <c r="F26" s="66">
        <v>10</v>
      </c>
      <c r="G26" s="66">
        <v>10</v>
      </c>
      <c r="H26" s="66">
        <v>10</v>
      </c>
      <c r="I26" s="66">
        <v>10</v>
      </c>
      <c r="J26" s="66">
        <v>10</v>
      </c>
      <c r="K26" s="66">
        <v>10</v>
      </c>
      <c r="L26" s="66">
        <v>10</v>
      </c>
      <c r="M26" s="66">
        <v>10</v>
      </c>
      <c r="N26" s="66">
        <v>10</v>
      </c>
      <c r="O26" s="67">
        <f>SUM(Facture_budget[[#This Row],[Janvier]:[Décembre]])</f>
        <v>120</v>
      </c>
    </row>
    <row r="27" spans="1:17" ht="21" customHeight="1" outlineLevel="1" x14ac:dyDescent="0.3">
      <c r="B27" s="65" t="s">
        <v>30</v>
      </c>
      <c r="C27" s="66">
        <v>20</v>
      </c>
      <c r="D27" s="66">
        <v>20</v>
      </c>
      <c r="E27" s="66">
        <v>20</v>
      </c>
      <c r="F27" s="66">
        <v>20</v>
      </c>
      <c r="G27" s="66">
        <v>20</v>
      </c>
      <c r="H27" s="66">
        <v>20</v>
      </c>
      <c r="I27" s="66">
        <v>20</v>
      </c>
      <c r="J27" s="66">
        <v>20</v>
      </c>
      <c r="K27" s="66">
        <v>20</v>
      </c>
      <c r="L27" s="66">
        <v>20</v>
      </c>
      <c r="M27" s="66">
        <v>20</v>
      </c>
      <c r="N27" s="66">
        <v>20</v>
      </c>
      <c r="O27" s="67">
        <f t="shared" ref="O27" si="0">SUM(O24:O26)</f>
        <v>1320</v>
      </c>
    </row>
    <row r="28" spans="1:17" ht="21" customHeight="1" x14ac:dyDescent="0.3">
      <c r="B28" s="65" t="s">
        <v>31</v>
      </c>
      <c r="C28" s="66">
        <v>15</v>
      </c>
      <c r="D28" s="66">
        <v>15</v>
      </c>
      <c r="E28" s="66">
        <v>15</v>
      </c>
      <c r="F28" s="66">
        <v>15</v>
      </c>
      <c r="G28" s="66">
        <v>15</v>
      </c>
      <c r="H28" s="66">
        <v>15</v>
      </c>
      <c r="I28" s="66">
        <v>15</v>
      </c>
      <c r="J28" s="66">
        <v>15</v>
      </c>
      <c r="K28" s="66">
        <v>15</v>
      </c>
      <c r="L28" s="66">
        <v>15</v>
      </c>
      <c r="M28" s="66">
        <v>15</v>
      </c>
      <c r="N28" s="66">
        <v>15</v>
      </c>
      <c r="O28" s="67">
        <f>SUM(Facture_budget[[#This Row],[Janvier]:[Décembre]])</f>
        <v>180</v>
      </c>
    </row>
    <row r="29" spans="1:17" x14ac:dyDescent="0.3">
      <c r="B29" s="69" t="s">
        <v>1</v>
      </c>
      <c r="C29" s="61">
        <f>SUBTOTAL(109,Facture_budget[Janvier])</f>
        <v>145</v>
      </c>
      <c r="D29" s="61">
        <f>SUBTOTAL(109,Facture_budget[Février])</f>
        <v>145</v>
      </c>
      <c r="E29" s="61">
        <f>SUBTOTAL(109,Facture_budget[Mars])</f>
        <v>145</v>
      </c>
      <c r="F29" s="61">
        <f>SUBTOTAL(109,Facture_budget[Avril])</f>
        <v>145</v>
      </c>
      <c r="G29" s="61">
        <f>SUBTOTAL(109,Facture_budget[Mai])</f>
        <v>145</v>
      </c>
      <c r="H29" s="61">
        <f>SUBTOTAL(109,Facture_budget[Juin])</f>
        <v>145</v>
      </c>
      <c r="I29" s="61">
        <f>SUBTOTAL(109,Facture_budget[Juillet])</f>
        <v>145</v>
      </c>
      <c r="J29" s="61">
        <f>SUBTOTAL(109,Facture_budget[Août])</f>
        <v>145</v>
      </c>
      <c r="K29" s="61">
        <f>SUBTOTAL(109,Facture_budget[Septembre])</f>
        <v>145</v>
      </c>
      <c r="L29" s="61">
        <f>SUBTOTAL(109,Facture_budget[Octobre])</f>
        <v>145</v>
      </c>
      <c r="M29" s="61">
        <f>SUBTOTAL(109,Facture_budget[Novembre])</f>
        <v>145</v>
      </c>
      <c r="N29" s="61">
        <f>SUBTOTAL(109,Facture_budget[Décembre])</f>
        <v>145</v>
      </c>
      <c r="O29" s="72">
        <f>SUBTOTAL(109,Facture_budget[Total])</f>
        <v>2820</v>
      </c>
    </row>
    <row r="31" spans="1:17" ht="21" customHeight="1" outlineLevel="1" x14ac:dyDescent="0.3">
      <c r="B31" s="9" t="s">
        <v>35</v>
      </c>
      <c r="C31" s="9" t="s">
        <v>2</v>
      </c>
      <c r="D31" s="9" t="s">
        <v>3</v>
      </c>
      <c r="E31" s="9" t="s">
        <v>4</v>
      </c>
      <c r="F31" s="9" t="s">
        <v>5</v>
      </c>
      <c r="G31" s="9" t="s">
        <v>6</v>
      </c>
      <c r="H31" s="9" t="s">
        <v>7</v>
      </c>
      <c r="I31" s="9" t="s">
        <v>8</v>
      </c>
      <c r="J31" s="9" t="s">
        <v>9</v>
      </c>
      <c r="K31" s="9" t="s">
        <v>10</v>
      </c>
      <c r="L31" s="9" t="s">
        <v>11</v>
      </c>
      <c r="M31" s="9" t="s">
        <v>12</v>
      </c>
      <c r="N31" s="9" t="s">
        <v>13</v>
      </c>
      <c r="O31" s="9" t="s">
        <v>1</v>
      </c>
    </row>
    <row r="32" spans="1:17" ht="21" customHeight="1" outlineLevel="1" x14ac:dyDescent="0.3">
      <c r="B32" s="11" t="s">
        <v>32</v>
      </c>
      <c r="C32" s="12">
        <v>700</v>
      </c>
      <c r="D32" s="12">
        <v>700</v>
      </c>
      <c r="E32" s="12">
        <v>700</v>
      </c>
      <c r="F32" s="12">
        <v>700</v>
      </c>
      <c r="G32" s="12">
        <v>700</v>
      </c>
      <c r="H32" s="12">
        <v>700</v>
      </c>
      <c r="I32" s="12">
        <v>700</v>
      </c>
      <c r="J32" s="12">
        <v>700</v>
      </c>
      <c r="K32" s="12">
        <v>700</v>
      </c>
      <c r="L32" s="12">
        <v>700</v>
      </c>
      <c r="M32" s="12">
        <v>700</v>
      </c>
      <c r="N32" s="12">
        <v>700</v>
      </c>
      <c r="O32" s="13">
        <f>SUM(Crédit_budget[[#This Row],[Janvier]:[Décembre]])</f>
        <v>8400</v>
      </c>
    </row>
    <row r="33" spans="2:15" ht="21" customHeight="1" outlineLevel="1" x14ac:dyDescent="0.3">
      <c r="B33" s="11" t="s">
        <v>33</v>
      </c>
      <c r="C33" s="12">
        <v>90</v>
      </c>
      <c r="D33" s="12">
        <v>90</v>
      </c>
      <c r="E33" s="12">
        <v>90</v>
      </c>
      <c r="F33" s="12">
        <v>90</v>
      </c>
      <c r="G33" s="12">
        <v>90</v>
      </c>
      <c r="H33" s="12">
        <v>90</v>
      </c>
      <c r="I33" s="12">
        <v>90</v>
      </c>
      <c r="J33" s="12">
        <v>90</v>
      </c>
      <c r="K33" s="12">
        <v>90</v>
      </c>
      <c r="L33" s="12">
        <v>90</v>
      </c>
      <c r="M33" s="12">
        <v>90</v>
      </c>
      <c r="N33" s="12">
        <v>90</v>
      </c>
      <c r="O33" s="13">
        <f>SUM(Crédit_budget[[#This Row],[Janvier]:[Décembre]])</f>
        <v>1080</v>
      </c>
    </row>
    <row r="34" spans="2:15" ht="21" customHeight="1" outlineLevel="1" x14ac:dyDescent="0.3">
      <c r="B34" s="11" t="s">
        <v>34</v>
      </c>
      <c r="C34" s="12">
        <v>150</v>
      </c>
      <c r="D34" s="12">
        <v>150</v>
      </c>
      <c r="E34" s="12">
        <v>150</v>
      </c>
      <c r="F34" s="12">
        <v>150</v>
      </c>
      <c r="G34" s="12">
        <v>150</v>
      </c>
      <c r="H34" s="12">
        <v>150</v>
      </c>
      <c r="I34" s="12">
        <v>150</v>
      </c>
      <c r="J34" s="12">
        <v>150</v>
      </c>
      <c r="K34" s="12">
        <v>150</v>
      </c>
      <c r="L34" s="12">
        <v>150</v>
      </c>
      <c r="M34" s="12">
        <v>150</v>
      </c>
      <c r="N34" s="12">
        <v>150</v>
      </c>
      <c r="O34" s="13">
        <f>SUM(Crédit_budget[[#This Row],[Janvier]:[Décembre]])</f>
        <v>1800</v>
      </c>
    </row>
    <row r="35" spans="2:15" ht="21" customHeight="1" x14ac:dyDescent="0.3">
      <c r="B35" s="11" t="s">
        <v>60</v>
      </c>
      <c r="C35" s="12">
        <v>3000</v>
      </c>
      <c r="D35" s="12">
        <v>3000</v>
      </c>
      <c r="E35" s="12">
        <v>3000</v>
      </c>
      <c r="F35" s="12">
        <v>3000</v>
      </c>
      <c r="G35" s="12">
        <v>3000</v>
      </c>
      <c r="H35" s="12">
        <v>3000</v>
      </c>
      <c r="I35" s="12">
        <v>3000</v>
      </c>
      <c r="J35" s="12">
        <v>3000</v>
      </c>
      <c r="K35" s="12">
        <v>3000</v>
      </c>
      <c r="L35" s="12">
        <v>3000</v>
      </c>
      <c r="M35" s="12">
        <v>3000</v>
      </c>
      <c r="N35" s="12">
        <v>3000</v>
      </c>
      <c r="O35" s="13">
        <f>SUM(Crédit_budget[[#This Row],[Janvier]:[Décembre]])</f>
        <v>36000</v>
      </c>
    </row>
    <row r="36" spans="2:15" x14ac:dyDescent="0.3">
      <c r="B36" s="73" t="s">
        <v>1</v>
      </c>
      <c r="C36" s="61">
        <f>SUBTOTAL(109,Crédit_budget[Janvier])</f>
        <v>3940</v>
      </c>
      <c r="D36" s="61">
        <f>SUBTOTAL(109,Crédit_budget[Février])</f>
        <v>3940</v>
      </c>
      <c r="E36" s="61">
        <f>SUBTOTAL(109,Crédit_budget[Mars])</f>
        <v>3940</v>
      </c>
      <c r="F36" s="61">
        <f>SUBTOTAL(109,Crédit_budget[Avril])</f>
        <v>3940</v>
      </c>
      <c r="G36" s="61">
        <f>SUBTOTAL(109,Crédit_budget[Mai])</f>
        <v>3940</v>
      </c>
      <c r="H36" s="61">
        <f>SUBTOTAL(109,Crédit_budget[Juin])</f>
        <v>3940</v>
      </c>
      <c r="I36" s="61">
        <f>SUBTOTAL(109,Crédit_budget[Juillet])</f>
        <v>3940</v>
      </c>
      <c r="J36" s="61">
        <f>SUBTOTAL(109,Crédit_budget[Août])</f>
        <v>3940</v>
      </c>
      <c r="K36" s="61">
        <f>SUBTOTAL(109,Crédit_budget[Septembre])</f>
        <v>3940</v>
      </c>
      <c r="L36" s="61">
        <f>SUBTOTAL(109,Crédit_budget[Octobre])</f>
        <v>3940</v>
      </c>
      <c r="M36" s="61">
        <f>SUBTOTAL(109,Crédit_budget[Novembre])</f>
        <v>3940</v>
      </c>
      <c r="N36" s="61">
        <f>SUBTOTAL(109,Crédit_budget[Décembre])</f>
        <v>3940</v>
      </c>
      <c r="O36" s="74">
        <f>SUBTOTAL(109,Crédit_budget[Total])</f>
        <v>47280</v>
      </c>
    </row>
    <row r="38" spans="2:15" ht="21" customHeight="1" outlineLevel="1" x14ac:dyDescent="0.3">
      <c r="B38" s="10" t="s">
        <v>40</v>
      </c>
      <c r="C38" s="10" t="s">
        <v>2</v>
      </c>
      <c r="D38" s="10" t="s">
        <v>3</v>
      </c>
      <c r="E38" s="10" t="s">
        <v>4</v>
      </c>
      <c r="F38" s="10" t="s">
        <v>5</v>
      </c>
      <c r="G38" s="10" t="s">
        <v>6</v>
      </c>
      <c r="H38" s="10" t="s">
        <v>7</v>
      </c>
      <c r="I38" s="10" t="s">
        <v>8</v>
      </c>
      <c r="J38" s="10" t="s">
        <v>9</v>
      </c>
      <c r="K38" s="10" t="s">
        <v>10</v>
      </c>
      <c r="L38" s="10" t="s">
        <v>11</v>
      </c>
      <c r="M38" s="10" t="s">
        <v>12</v>
      </c>
      <c r="N38" s="10" t="s">
        <v>13</v>
      </c>
      <c r="O38" s="10" t="s">
        <v>1</v>
      </c>
    </row>
    <row r="39" spans="2:15" ht="21" customHeight="1" outlineLevel="1" x14ac:dyDescent="0.3">
      <c r="B39" s="3" t="s">
        <v>36</v>
      </c>
      <c r="C39" s="4">
        <v>120</v>
      </c>
      <c r="D39" s="4">
        <v>120</v>
      </c>
      <c r="E39" s="4">
        <v>120</v>
      </c>
      <c r="F39" s="4">
        <v>120</v>
      </c>
      <c r="G39" s="4">
        <v>120</v>
      </c>
      <c r="H39" s="4">
        <v>120</v>
      </c>
      <c r="I39" s="4">
        <v>120</v>
      </c>
      <c r="J39" s="4">
        <v>120</v>
      </c>
      <c r="K39" s="4">
        <v>120</v>
      </c>
      <c r="L39" s="4">
        <v>120</v>
      </c>
      <c r="M39" s="4">
        <v>120</v>
      </c>
      <c r="N39" s="4">
        <v>120</v>
      </c>
      <c r="O39" s="5">
        <f>SUM(Epargne_budget[[#This Row],[Janvier]:[Décembre]])</f>
        <v>1440</v>
      </c>
    </row>
    <row r="40" spans="2:15" ht="21" customHeight="1" outlineLevel="1" x14ac:dyDescent="0.3">
      <c r="B40" s="6" t="s">
        <v>37</v>
      </c>
      <c r="C40" s="7">
        <v>150</v>
      </c>
      <c r="D40" s="7">
        <v>150</v>
      </c>
      <c r="E40" s="7">
        <v>150</v>
      </c>
      <c r="F40" s="7">
        <v>150</v>
      </c>
      <c r="G40" s="7">
        <v>150</v>
      </c>
      <c r="H40" s="7">
        <v>150</v>
      </c>
      <c r="I40" s="7">
        <v>150</v>
      </c>
      <c r="J40" s="7">
        <v>150</v>
      </c>
      <c r="K40" s="7">
        <v>150</v>
      </c>
      <c r="L40" s="7">
        <v>150</v>
      </c>
      <c r="M40" s="7">
        <v>150</v>
      </c>
      <c r="N40" s="7">
        <v>150</v>
      </c>
      <c r="O40" s="8">
        <f>SUM(Epargne_budget[[#This Row],[Janvier]:[Décembre]])</f>
        <v>1800</v>
      </c>
    </row>
    <row r="41" spans="2:15" ht="21" customHeight="1" outlineLevel="1" x14ac:dyDescent="0.3">
      <c r="B41" s="15" t="s">
        <v>38</v>
      </c>
      <c r="C41" s="7">
        <v>120</v>
      </c>
      <c r="D41" s="7">
        <v>120</v>
      </c>
      <c r="E41" s="7">
        <v>120</v>
      </c>
      <c r="F41" s="7">
        <v>120</v>
      </c>
      <c r="G41" s="7">
        <v>120</v>
      </c>
      <c r="H41" s="7">
        <v>120</v>
      </c>
      <c r="I41" s="7">
        <v>120</v>
      </c>
      <c r="J41" s="7">
        <v>120</v>
      </c>
      <c r="K41" s="7">
        <v>120</v>
      </c>
      <c r="L41" s="7">
        <v>120</v>
      </c>
      <c r="M41" s="7">
        <v>120</v>
      </c>
      <c r="N41" s="7">
        <v>120</v>
      </c>
      <c r="O41" s="8">
        <f>SUM(Epargne_budget[[#This Row],[Janvier]:[Décembre]])</f>
        <v>1440</v>
      </c>
    </row>
    <row r="42" spans="2:15" ht="21" customHeight="1" x14ac:dyDescent="0.3">
      <c r="B42" s="14" t="s">
        <v>39</v>
      </c>
      <c r="C42" s="7">
        <v>100</v>
      </c>
      <c r="D42" s="7">
        <v>100</v>
      </c>
      <c r="E42" s="7">
        <v>100</v>
      </c>
      <c r="F42" s="7">
        <v>100</v>
      </c>
      <c r="G42" s="7">
        <v>100</v>
      </c>
      <c r="H42" s="7">
        <v>100</v>
      </c>
      <c r="I42" s="7">
        <v>100</v>
      </c>
      <c r="J42" s="7">
        <v>100</v>
      </c>
      <c r="K42" s="7">
        <v>100</v>
      </c>
      <c r="L42" s="7">
        <v>100</v>
      </c>
      <c r="M42" s="7">
        <v>100</v>
      </c>
      <c r="N42" s="7">
        <v>100</v>
      </c>
      <c r="O42" s="8">
        <f>SUM(Epargne_budget[[#This Row],[Janvier]:[Décembre]])</f>
        <v>1200</v>
      </c>
    </row>
    <row r="43" spans="2:15" x14ac:dyDescent="0.3">
      <c r="B43" s="70" t="s">
        <v>1</v>
      </c>
      <c r="C43" s="61">
        <f>SUBTOTAL(109,Epargne_budget[Janvier])</f>
        <v>490</v>
      </c>
      <c r="D43" s="61">
        <f>SUBTOTAL(109,Epargne_budget[Février])</f>
        <v>490</v>
      </c>
      <c r="E43" s="61">
        <f>SUBTOTAL(109,Epargne_budget[Mars])</f>
        <v>490</v>
      </c>
      <c r="F43" s="61">
        <f>SUBTOTAL(109,Epargne_budget[Avril])</f>
        <v>490</v>
      </c>
      <c r="G43" s="61">
        <f>SUBTOTAL(109,Epargne_budget[Mai])</f>
        <v>490</v>
      </c>
      <c r="H43" s="61">
        <f>SUBTOTAL(109,Epargne_budget[Février])</f>
        <v>490</v>
      </c>
      <c r="I43" s="61">
        <f>SUBTOTAL(109,Epargne_budget[Mars])</f>
        <v>490</v>
      </c>
      <c r="J43" s="61">
        <f>SUBTOTAL(109,Epargne_budget[Avril])</f>
        <v>490</v>
      </c>
      <c r="K43" s="61">
        <f>SUBTOTAL(109,Epargne_budget[Mai])</f>
        <v>490</v>
      </c>
      <c r="L43" s="61">
        <f>SUBTOTAL(109,Epargne_budget[Juin])</f>
        <v>490</v>
      </c>
      <c r="M43" s="61">
        <f>SUBTOTAL(109,Epargne_budget[Mars])</f>
        <v>490</v>
      </c>
      <c r="N43" s="61">
        <f>SUBTOTAL(109,Epargne_budget[Avril])</f>
        <v>490</v>
      </c>
      <c r="O43" s="61">
        <f>SUBTOTAL(109,Epargne_budget[Total])</f>
        <v>5880</v>
      </c>
    </row>
  </sheetData>
  <phoneticPr fontId="1" type="noConversion"/>
  <pageMargins left="0.7" right="0.7" top="0.75" bottom="0.75" header="0.3" footer="0.3"/>
  <drawing r:id="rId1"/>
  <tableParts count="5">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296D1-BF80-46C4-8DAA-3B8977F1147E}">
  <dimension ref="B3:T33"/>
  <sheetViews>
    <sheetView workbookViewId="0">
      <selection activeCell="C4" sqref="C4"/>
    </sheetView>
  </sheetViews>
  <sheetFormatPr defaultRowHeight="14.4" x14ac:dyDescent="0.3"/>
  <cols>
    <col min="4" max="4" width="13.6640625" customWidth="1"/>
    <col min="6" max="6" width="13.109375" customWidth="1"/>
    <col min="7" max="7" width="15.33203125" customWidth="1"/>
    <col min="13" max="13" width="12.44140625" bestFit="1" customWidth="1"/>
    <col min="15" max="15" width="16.6640625" customWidth="1"/>
    <col min="16" max="16" width="16.44140625" customWidth="1"/>
  </cols>
  <sheetData>
    <row r="3" spans="2:20" x14ac:dyDescent="0.3">
      <c r="B3" s="54"/>
      <c r="C3" s="53"/>
      <c r="D3" s="53"/>
      <c r="E3" s="45"/>
      <c r="F3" s="54"/>
      <c r="G3" s="53"/>
      <c r="H3" s="53"/>
      <c r="J3" s="54"/>
      <c r="K3" s="53"/>
      <c r="L3" s="53"/>
      <c r="M3" s="45"/>
      <c r="N3" s="54"/>
      <c r="O3" s="53"/>
      <c r="P3" s="53"/>
      <c r="Q3" s="45"/>
      <c r="R3" s="54"/>
      <c r="S3" s="53"/>
      <c r="T3" s="53"/>
    </row>
    <row r="4" spans="2:20" ht="15.6" x14ac:dyDescent="0.35">
      <c r="C4" s="47">
        <f>IFERROR(Dashboard!C52/Dashboard!D52,0)</f>
        <v>0</v>
      </c>
      <c r="D4" s="48">
        <f>Dashboard!D52/Dashboard!D52</f>
        <v>1</v>
      </c>
      <c r="G4" s="49">
        <f>IFERROR(Dashboard!G52/Dashboard!H52,0)</f>
        <v>0.11086474501108648</v>
      </c>
      <c r="H4" s="48">
        <f>Dashboard!H52/Dashboard!H52</f>
        <v>1</v>
      </c>
      <c r="K4" s="49">
        <f>Dashboard!K52/Dashboard!L52</f>
        <v>0</v>
      </c>
      <c r="L4" s="48">
        <f>Dashboard!L52/Dashboard!L52</f>
        <v>1</v>
      </c>
      <c r="O4" s="49">
        <f>Dashboard!O52/Dashboard!P52</f>
        <v>2.5380710659898477E-2</v>
      </c>
      <c r="P4" s="48">
        <f>Dashboard!P52/Dashboard!P52</f>
        <v>1</v>
      </c>
      <c r="S4" s="50">
        <f>IFERROR(Dashboard!S52/Dashboard!T52,0)</f>
        <v>0</v>
      </c>
      <c r="T4" s="51">
        <f>Dashboard!T52/Dashboard!T52</f>
        <v>1</v>
      </c>
    </row>
    <row r="5" spans="2:20" ht="20.399999999999999" x14ac:dyDescent="0.35">
      <c r="L5" s="79" t="s">
        <v>53</v>
      </c>
      <c r="M5" s="79"/>
      <c r="N5" s="79"/>
      <c r="O5" s="46">
        <f>Dashboard!K52+Dashboard!O52</f>
        <v>100</v>
      </c>
      <c r="P5" s="46">
        <f>Dashboard!L52+Dashboard!P52</f>
        <v>4085</v>
      </c>
    </row>
    <row r="6" spans="2:20" x14ac:dyDescent="0.3">
      <c r="D6" s="43">
        <f>Dashboard!C52-(Dashboard!G52+O5)</f>
        <v>-600</v>
      </c>
      <c r="F6" s="43">
        <f>Dashboard!D52-(Dashboard!H52+P5)</f>
        <v>-4295</v>
      </c>
      <c r="O6" s="51">
        <f>IFERROR(O5/P5,0)</f>
        <v>2.4479804161566709E-2</v>
      </c>
      <c r="P6" s="51">
        <f>P5/P5</f>
        <v>1</v>
      </c>
    </row>
    <row r="7" spans="2:20" x14ac:dyDescent="0.3">
      <c r="D7" s="51">
        <f>D6/F6</f>
        <v>0.13969732246798602</v>
      </c>
      <c r="F7" s="51">
        <f>F6/F6</f>
        <v>1</v>
      </c>
    </row>
    <row r="9" spans="2:20" x14ac:dyDescent="0.3">
      <c r="B9" t="s">
        <v>54</v>
      </c>
      <c r="C9" s="55">
        <f>Dashboard!C52</f>
        <v>0</v>
      </c>
    </row>
    <row r="10" spans="2:20" x14ac:dyDescent="0.3">
      <c r="B10" t="s">
        <v>17</v>
      </c>
      <c r="C10" s="43">
        <f>Dashboard!G52+O5</f>
        <v>600</v>
      </c>
      <c r="H10" t="s">
        <v>54</v>
      </c>
      <c r="J10" s="56">
        <f>Dashboard!C52</f>
        <v>0</v>
      </c>
    </row>
    <row r="11" spans="2:20" x14ac:dyDescent="0.3">
      <c r="B11" t="s">
        <v>55</v>
      </c>
      <c r="C11" s="43">
        <f>C9-C10</f>
        <v>-600</v>
      </c>
      <c r="H11" t="s">
        <v>17</v>
      </c>
      <c r="J11" s="56">
        <f>Dashboard!G52</f>
        <v>500</v>
      </c>
    </row>
    <row r="12" spans="2:20" x14ac:dyDescent="0.3">
      <c r="B12" t="s">
        <v>56</v>
      </c>
      <c r="C12" s="51">
        <f>IFERROR(C9/C10,0)</f>
        <v>0</v>
      </c>
      <c r="H12" t="s">
        <v>26</v>
      </c>
      <c r="J12" s="56">
        <f>Dashboard!K52</f>
        <v>0</v>
      </c>
      <c r="N12" s="29" t="s">
        <v>36</v>
      </c>
      <c r="O12" s="57">
        <f>IFERROR(SUMIF(Transaction[Catégorie],N12,Transaction[Montant]),"")</f>
        <v>300</v>
      </c>
      <c r="P12" s="58">
        <f>IFERROR(VLOOKUP(N12,Epargne_budget[],14,FALSE),"")</f>
        <v>1440</v>
      </c>
    </row>
    <row r="13" spans="2:20" x14ac:dyDescent="0.3">
      <c r="B13" t="s">
        <v>57</v>
      </c>
      <c r="C13" s="51">
        <f>1-C12</f>
        <v>1</v>
      </c>
      <c r="H13" t="s">
        <v>35</v>
      </c>
      <c r="J13" s="56">
        <f>Dashboard!O52</f>
        <v>100</v>
      </c>
      <c r="N13" s="29" t="s">
        <v>37</v>
      </c>
      <c r="O13" s="57">
        <f>IFERROR(SUMIF(Transaction[Catégorie],N13,Transaction[Montant]),"")</f>
        <v>80</v>
      </c>
      <c r="P13" s="58">
        <f>IFERROR(VLOOKUP(N13,Epargne_budget[],14,FALSE),"")</f>
        <v>1800</v>
      </c>
    </row>
    <row r="14" spans="2:20" x14ac:dyDescent="0.3">
      <c r="H14" t="s">
        <v>40</v>
      </c>
      <c r="J14" s="56">
        <f>Dashboard!S52</f>
        <v>0</v>
      </c>
      <c r="N14" s="29" t="s">
        <v>38</v>
      </c>
      <c r="O14" s="57">
        <f>IFERROR(SUMIF(Transaction[Catégorie],N14,Transaction[Montant]),"")</f>
        <v>250</v>
      </c>
      <c r="P14" s="58">
        <f>IFERROR(VLOOKUP(N14,Epargne_budget[],14,FALSE),"")</f>
        <v>1440</v>
      </c>
    </row>
    <row r="15" spans="2:20" x14ac:dyDescent="0.3">
      <c r="N15" s="29" t="s">
        <v>39</v>
      </c>
      <c r="O15" s="57">
        <f>IFERROR(SUMIF(Transaction[Catégorie],N15,Transaction[Montant]),"")</f>
        <v>300</v>
      </c>
      <c r="P15" s="58">
        <f>IFERROR(VLOOKUP(N15,Epargne_budget[],14,FALSE),"")</f>
        <v>1200</v>
      </c>
    </row>
    <row r="16" spans="2:20" x14ac:dyDescent="0.3">
      <c r="D16" t="s">
        <v>17</v>
      </c>
      <c r="F16" t="s">
        <v>47</v>
      </c>
      <c r="G16" t="s">
        <v>48</v>
      </c>
      <c r="N16" s="29"/>
      <c r="O16" s="36">
        <f>IFERROR(SUMIF(Transaction[Catégorie],N16,Transaction[Montant]),"")</f>
        <v>0</v>
      </c>
      <c r="P16" s="35" t="str">
        <f>IFERROR(VLOOKUP(N16,Epargne_budget[],14,FALSE),"")</f>
        <v/>
      </c>
    </row>
    <row r="17" spans="4:16" x14ac:dyDescent="0.3">
      <c r="D17" t="s">
        <v>58</v>
      </c>
      <c r="F17" s="55">
        <f>Dashboard!G52</f>
        <v>500</v>
      </c>
      <c r="G17" s="55">
        <f>Dashboard!H52</f>
        <v>4510</v>
      </c>
      <c r="N17" s="29"/>
      <c r="O17" s="36">
        <f>IFERROR(SUMIF(Transaction[Catégorie],N17,Transaction[Montant]),"")</f>
        <v>0</v>
      </c>
      <c r="P17" s="35" t="str">
        <f>IFERROR(VLOOKUP(N17,Epargne_budget[],14,FALSE),"")</f>
        <v/>
      </c>
    </row>
    <row r="18" spans="4:16" x14ac:dyDescent="0.3">
      <c r="D18" t="s">
        <v>26</v>
      </c>
      <c r="F18" s="55">
        <f>Dashboard!K52</f>
        <v>0</v>
      </c>
      <c r="G18" s="55">
        <f>Dashboard!L52</f>
        <v>145</v>
      </c>
      <c r="N18" s="29"/>
      <c r="O18" s="36">
        <f>IFERROR(SUMIF(Transaction[Catégorie],N18,Transaction[Montant]),"")</f>
        <v>0</v>
      </c>
      <c r="P18" s="35" t="str">
        <f>IFERROR(VLOOKUP(N18,Epargne_budget[],14,FALSE),"")</f>
        <v/>
      </c>
    </row>
    <row r="19" spans="4:16" x14ac:dyDescent="0.3">
      <c r="D19" t="s">
        <v>35</v>
      </c>
      <c r="F19" s="55">
        <f>Dashboard!O52</f>
        <v>100</v>
      </c>
      <c r="G19" s="55">
        <f>Dashboard!P52</f>
        <v>3940</v>
      </c>
      <c r="N19" s="29"/>
      <c r="O19" s="36">
        <f>IFERROR(SUMIF(Transaction[Catégorie],N19,Transaction[Montant]),"")</f>
        <v>0</v>
      </c>
      <c r="P19" s="35" t="str">
        <f>IFERROR(VLOOKUP(N19,Epargne_budget[],14,FALSE),"")</f>
        <v/>
      </c>
    </row>
    <row r="20" spans="4:16" ht="15.6" x14ac:dyDescent="0.3">
      <c r="D20" t="s">
        <v>40</v>
      </c>
      <c r="F20" s="55">
        <f>Dashboard!S52</f>
        <v>0</v>
      </c>
      <c r="G20" s="55">
        <f>Dashboard!T52</f>
        <v>490</v>
      </c>
      <c r="K20" s="52" t="s">
        <v>49</v>
      </c>
    </row>
    <row r="21" spans="4:16" ht="15.6" x14ac:dyDescent="0.3">
      <c r="K21" s="52" t="s">
        <v>2</v>
      </c>
      <c r="M21" s="42" t="s">
        <v>50</v>
      </c>
    </row>
    <row r="22" spans="4:16" ht="15.6" x14ac:dyDescent="0.3">
      <c r="K22" s="52" t="s">
        <v>3</v>
      </c>
      <c r="M22" s="41" t="s">
        <v>2</v>
      </c>
    </row>
    <row r="23" spans="4:16" ht="15.6" x14ac:dyDescent="0.3">
      <c r="K23" s="52" t="s">
        <v>4</v>
      </c>
      <c r="M23" s="41" t="s">
        <v>51</v>
      </c>
    </row>
    <row r="24" spans="4:16" ht="15.6" x14ac:dyDescent="0.3">
      <c r="K24" s="52" t="s">
        <v>5</v>
      </c>
    </row>
    <row r="25" spans="4:16" ht="15.6" x14ac:dyDescent="0.3">
      <c r="K25" s="52" t="s">
        <v>6</v>
      </c>
    </row>
    <row r="26" spans="4:16" ht="15.6" x14ac:dyDescent="0.3">
      <c r="K26" s="52" t="s">
        <v>7</v>
      </c>
    </row>
    <row r="27" spans="4:16" ht="15.6" x14ac:dyDescent="0.3">
      <c r="K27" s="52" t="s">
        <v>8</v>
      </c>
    </row>
    <row r="28" spans="4:16" ht="15.6" x14ac:dyDescent="0.3">
      <c r="K28" s="52" t="s">
        <v>9</v>
      </c>
    </row>
    <row r="29" spans="4:16" ht="15.6" x14ac:dyDescent="0.3">
      <c r="K29" s="52" t="s">
        <v>10</v>
      </c>
    </row>
    <row r="30" spans="4:16" ht="15.6" x14ac:dyDescent="0.3">
      <c r="K30" s="52" t="s">
        <v>11</v>
      </c>
    </row>
    <row r="31" spans="4:16" ht="15.6" x14ac:dyDescent="0.3">
      <c r="K31" s="52" t="s">
        <v>12</v>
      </c>
    </row>
    <row r="32" spans="4:16" ht="15.6" x14ac:dyDescent="0.3">
      <c r="K32" s="52" t="s">
        <v>13</v>
      </c>
    </row>
    <row r="33" spans="11:11" ht="15.6" x14ac:dyDescent="0.3">
      <c r="K33" s="52" t="s">
        <v>52</v>
      </c>
    </row>
  </sheetData>
  <mergeCells count="1">
    <mergeCell ref="L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Dashboard</vt:lpstr>
      <vt:lpstr>Transaction</vt:lpstr>
      <vt:lpstr>Budget</vt:lpstr>
      <vt:lpstr>Calcul</vt:lpstr>
      <vt:lpstr>Crédit</vt:lpstr>
      <vt:lpstr>Dépense</vt:lpstr>
      <vt:lpstr>Epargne</vt:lpstr>
      <vt:lpstr>Facture</vt:lpstr>
      <vt:lpstr>Revenu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DJEUZEM SIGNING Alexandra cindy</dc:creator>
  <cp:lastModifiedBy>DJEUZEM SIGNING Alexandra cindy</cp:lastModifiedBy>
  <dcterms:created xsi:type="dcterms:W3CDTF">2025-07-15T09:56:29Z</dcterms:created>
  <dcterms:modified xsi:type="dcterms:W3CDTF">2025-07-25T12:20:49Z</dcterms:modified>
</cp:coreProperties>
</file>